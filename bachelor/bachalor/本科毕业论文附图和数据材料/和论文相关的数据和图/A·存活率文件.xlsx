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668" windowHeight="9060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<sst xmlns="http://schemas.openxmlformats.org/spreadsheetml/2006/main" count="179" uniqueCount="99">
  <si>
    <t>name</t>
  </si>
  <si>
    <t>12h</t>
  </si>
  <si>
    <t>24h</t>
  </si>
  <si>
    <t>48h</t>
  </si>
  <si>
    <t>72h</t>
  </si>
  <si>
    <t>CK</t>
  </si>
  <si>
    <t>1-C</t>
  </si>
  <si>
    <t>2-C</t>
  </si>
  <si>
    <t>3-C</t>
  </si>
  <si>
    <t>4-C</t>
  </si>
  <si>
    <t>5-C</t>
  </si>
  <si>
    <t>浓度mg/ml</t>
  </si>
  <si>
    <t>总计存活/只</t>
  </si>
  <si>
    <t>处理设置</t>
  </si>
  <si>
    <r>
      <rPr>
        <b/>
        <sz val="11"/>
        <color rgb="FF5A5A5A"/>
        <rFont val="宋体"/>
        <charset val="134"/>
      </rPr>
      <t>阿斯巴甜含量</t>
    </r>
    <r>
      <rPr>
        <b/>
        <sz val="11"/>
        <color rgb="FF5A5A5A"/>
        <rFont val="Times New Roman"/>
        <charset val="134"/>
      </rPr>
      <t>/</t>
    </r>
    <r>
      <rPr>
        <b/>
        <sz val="11"/>
        <color rgb="FF5A5A5A"/>
        <rFont val="宋体"/>
        <charset val="134"/>
      </rPr>
      <t>（</t>
    </r>
    <r>
      <rPr>
        <b/>
        <sz val="11"/>
        <color rgb="FF5A5A5A"/>
        <rFont val="Times New Roman"/>
        <charset val="134"/>
      </rPr>
      <t>mg/ml</t>
    </r>
    <r>
      <rPr>
        <b/>
        <sz val="11"/>
        <color rgb="FF5A5A5A"/>
        <rFont val="宋体"/>
        <charset val="134"/>
      </rPr>
      <t>）</t>
    </r>
  </si>
  <si>
    <r>
      <rPr>
        <b/>
        <sz val="11"/>
        <color rgb="FF5A5A5A"/>
        <rFont val="宋体"/>
        <charset val="134"/>
      </rPr>
      <t>安赛蜜含量</t>
    </r>
    <r>
      <rPr>
        <b/>
        <sz val="11"/>
        <color rgb="FF5A5A5A"/>
        <rFont val="Times New Roman"/>
        <charset val="134"/>
      </rPr>
      <t>/</t>
    </r>
    <r>
      <rPr>
        <b/>
        <sz val="11"/>
        <color rgb="FF5A5A5A"/>
        <rFont val="宋体"/>
        <charset val="134"/>
      </rPr>
      <t>（</t>
    </r>
    <r>
      <rPr>
        <b/>
        <sz val="11"/>
        <color rgb="FF5A5A5A"/>
        <rFont val="Times New Roman"/>
        <charset val="134"/>
      </rPr>
      <t>mg/ml</t>
    </r>
    <r>
      <rPr>
        <b/>
        <sz val="11"/>
        <color rgb="FF5A5A5A"/>
        <rFont val="宋体"/>
        <charset val="134"/>
      </rPr>
      <t>）</t>
    </r>
  </si>
  <si>
    <t>在滤纸上的总含量（mg/cm-2）</t>
  </si>
  <si>
    <t>1-A</t>
  </si>
  <si>
    <t>2-A</t>
  </si>
  <si>
    <t>3-A</t>
  </si>
  <si>
    <t>4-A</t>
  </si>
  <si>
    <t>5-A</t>
  </si>
  <si>
    <t>1-S</t>
  </si>
  <si>
    <t>2-S</t>
  </si>
  <si>
    <t>3-S</t>
  </si>
  <si>
    <t>4-S</t>
  </si>
  <si>
    <t>5-S</t>
  </si>
  <si>
    <r>
      <rPr>
        <b/>
        <sz val="11"/>
        <color rgb="FF5A5A5A"/>
        <rFont val="宋体"/>
        <charset val="134"/>
      </rPr>
      <t>分析项</t>
    </r>
  </si>
  <si>
    <r>
      <rPr>
        <b/>
        <sz val="11"/>
        <color rgb="FF5A5A5A"/>
        <rFont val="宋体"/>
        <charset val="134"/>
      </rPr>
      <t>分组变量</t>
    </r>
  </si>
  <si>
    <r>
      <rPr>
        <b/>
        <sz val="11"/>
        <color rgb="FF5A5A5A"/>
        <rFont val="宋体"/>
        <charset val="134"/>
      </rPr>
      <t>样本量</t>
    </r>
  </si>
  <si>
    <r>
      <rPr>
        <b/>
        <sz val="11"/>
        <color rgb="FF5A5A5A"/>
        <rFont val="宋体"/>
        <charset val="134"/>
      </rPr>
      <t>中位数</t>
    </r>
  </si>
  <si>
    <r>
      <rPr>
        <b/>
        <sz val="11"/>
        <color rgb="FF5A5A5A"/>
        <rFont val="宋体"/>
        <charset val="134"/>
      </rPr>
      <t>标准差</t>
    </r>
  </si>
  <si>
    <r>
      <rPr>
        <b/>
        <sz val="11"/>
        <color rgb="FF5A5A5A"/>
        <rFont val="宋体"/>
        <charset val="134"/>
      </rPr>
      <t>统计量</t>
    </r>
  </si>
  <si>
    <t>P</t>
  </si>
  <si>
    <r>
      <rPr>
        <b/>
        <sz val="11"/>
        <color rgb="FF5A5A5A"/>
        <rFont val="Times New Roman"/>
        <charset val="134"/>
      </rPr>
      <t>Cohen's f</t>
    </r>
    <r>
      <rPr>
        <b/>
        <sz val="11"/>
        <color rgb="FF5A5A5A"/>
        <rFont val="宋体"/>
        <charset val="134"/>
      </rPr>
      <t>值</t>
    </r>
  </si>
  <si>
    <r>
      <rPr>
        <sz val="10.5"/>
        <color theme="1"/>
        <rFont val="Times New Roman"/>
        <charset val="134"/>
      </rPr>
      <t>SOD</t>
    </r>
    <r>
      <rPr>
        <sz val="10.5"/>
        <color theme="1"/>
        <rFont val="宋体"/>
        <charset val="134"/>
      </rPr>
      <t>值</t>
    </r>
  </si>
  <si>
    <t>0.002***</t>
  </si>
  <si>
    <t>1-P</t>
  </si>
  <si>
    <t>2-P</t>
  </si>
  <si>
    <t>3-P</t>
  </si>
  <si>
    <t>4-P</t>
  </si>
  <si>
    <r>
      <rPr>
        <sz val="10.5"/>
        <color theme="1"/>
        <rFont val="宋体"/>
        <charset val="134"/>
      </rPr>
      <t>总计</t>
    </r>
  </si>
  <si>
    <t>图表说明：
上表展示了Kruskal-Wallis检验的结果，包括中位数、统计量与效应量Cohen's f值。
● 分析每个分析项的P值是否显著(P&lt;0.05)。
● 若呈显著性，拒绝原假设，说明两组数据之间存在显著性差异，可以根据中位数±标准差的方式对差异进行分析，反之则表明数据不呈现差异性。
● Cohen's f值： 表示效应量大小，效应量小、中、大的区分临界点分别是：0.1、0.25和0.40。
智能分析：
Kruskal-Wallis检验结果显示，基于变量SOD值，检验结果P值为0.002***&lt;0.05，因此统计结果显著，说明不同ACE在SOD值上存在显著差异；其差异幅度Cohen's f值为：0.686，大程度差异。</t>
  </si>
  <si>
    <t>分析项</t>
  </si>
  <si>
    <t>分组变量</t>
  </si>
  <si>
    <t>样本量</t>
  </si>
  <si>
    <t>中位数</t>
  </si>
  <si>
    <t>标准差</t>
  </si>
  <si>
    <t>统计量</t>
  </si>
  <si>
    <r>
      <rPr>
        <b/>
        <sz val="11"/>
        <color rgb="FF5A5A5A"/>
        <rFont val="Helvetica"/>
        <charset val="134"/>
      </rPr>
      <t>Cohen's f</t>
    </r>
    <r>
      <rPr>
        <b/>
        <sz val="11"/>
        <color rgb="FF5A5A5A"/>
        <rFont val="宋体"/>
        <charset val="134"/>
      </rPr>
      <t>值</t>
    </r>
  </si>
  <si>
    <r>
      <rPr>
        <sz val="10.5"/>
        <color theme="1"/>
        <rFont val="Times New Roman"/>
        <charset val="134"/>
      </rPr>
      <t>CAT</t>
    </r>
    <r>
      <rPr>
        <sz val="10.5"/>
        <color theme="1"/>
        <rFont val="宋体"/>
        <charset val="134"/>
      </rPr>
      <t>值</t>
    </r>
  </si>
  <si>
    <t>0.003***</t>
  </si>
  <si>
    <t>存活率</t>
  </si>
  <si>
    <t>1-C-1</t>
  </si>
  <si>
    <t>1-P-1</t>
  </si>
  <si>
    <t>CK-1</t>
  </si>
  <si>
    <t>1-C-2</t>
  </si>
  <si>
    <t>1-P-2</t>
  </si>
  <si>
    <t>CK-2</t>
  </si>
  <si>
    <t>1-C-3</t>
  </si>
  <si>
    <t>1-P-3</t>
  </si>
  <si>
    <t>CK-3</t>
  </si>
  <si>
    <t>1-C-4</t>
  </si>
  <si>
    <t>1-P-4</t>
  </si>
  <si>
    <t>CK-4</t>
  </si>
  <si>
    <t>1-C-5</t>
  </si>
  <si>
    <t>1-P-5</t>
  </si>
  <si>
    <t>CK-5</t>
  </si>
  <si>
    <t>2-C-1</t>
  </si>
  <si>
    <t>2-P-1</t>
  </si>
  <si>
    <t>2-C-2</t>
  </si>
  <si>
    <t>2-P-2</t>
  </si>
  <si>
    <t>2-C-3</t>
  </si>
  <si>
    <t>2-P-3</t>
  </si>
  <si>
    <t>2-C-4</t>
  </si>
  <si>
    <t>2-P-4</t>
  </si>
  <si>
    <t>2-C-5</t>
  </si>
  <si>
    <t>2-P-5</t>
  </si>
  <si>
    <t>3-C-1</t>
  </si>
  <si>
    <t>3-P-1</t>
  </si>
  <si>
    <t>3-C-2</t>
  </si>
  <si>
    <t>3-P-2</t>
  </si>
  <si>
    <t>3-C-3</t>
  </si>
  <si>
    <t>3-P-3</t>
  </si>
  <si>
    <t>3-C-4</t>
  </si>
  <si>
    <t>3-P-4</t>
  </si>
  <si>
    <t>3-C-5</t>
  </si>
  <si>
    <t>3-P-5</t>
  </si>
  <si>
    <t>4-C-1</t>
  </si>
  <si>
    <t>4-P-1</t>
  </si>
  <si>
    <t>4-C-2</t>
  </si>
  <si>
    <t>4-P-2</t>
  </si>
  <si>
    <t>4-C-3</t>
  </si>
  <si>
    <t>4-P-3</t>
  </si>
  <si>
    <t>4-C-4</t>
  </si>
  <si>
    <t>4-P-4</t>
  </si>
  <si>
    <t>4-C-5</t>
  </si>
  <si>
    <t>4-P-5</t>
  </si>
  <si>
    <t>组别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</si>
</sst>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8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1"/>
      <color rgb="FF5A5A5A"/>
      <name val="宋体"/>
      <charset val="134"/>
    </font>
    <font>
      <sz val="14"/>
      <color theme="1"/>
      <name val="Times New Roman"/>
      <charset val="134"/>
    </font>
    <font>
      <sz val="12"/>
      <color theme="1"/>
      <name val="Times New Roman"/>
      <charset val="134"/>
    </font>
    <font>
      <b/>
      <sz val="11"/>
      <color rgb="FF5A5A5A"/>
      <name val="Times New Roman"/>
      <charset val="134"/>
    </font>
    <font>
      <sz val="10.5"/>
      <color theme="1"/>
      <name val="Times New Roman"/>
      <charset val="134"/>
    </font>
    <font>
      <b/>
      <sz val="11"/>
      <color rgb="FF5A5A5A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theme="1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medium">
        <color rgb="FF5A5A5A"/>
      </top>
      <bottom style="medium">
        <color rgb="FF5A5A5A"/>
      </bottom>
      <diagonal/>
    </border>
    <border>
      <left/>
      <right/>
      <top/>
      <bottom style="medium">
        <color rgb="FF5A5A5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1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15" applyNumberFormat="0" applyAlignment="0" applyProtection="0">
      <alignment vertical="center"/>
    </xf>
    <xf numFmtId="0" fontId="17" fillId="10" borderId="16" applyNumberFormat="0" applyAlignment="0" applyProtection="0">
      <alignment vertical="center"/>
    </xf>
    <xf numFmtId="0" fontId="18" fillId="10" borderId="15" applyNumberFormat="0" applyAlignment="0" applyProtection="0">
      <alignment vertical="center"/>
    </xf>
    <xf numFmtId="0" fontId="19" fillId="11" borderId="17" applyNumberFormat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vertical="center"/>
    </xf>
    <xf numFmtId="10" fontId="0" fillId="0" borderId="0" xfId="0" applyNumberFormat="1">
      <alignment vertical="center"/>
    </xf>
    <xf numFmtId="0" fontId="1" fillId="2" borderId="2" xfId="0" applyFont="1" applyFill="1" applyBorder="1" applyAlignment="1">
      <alignment vertical="center"/>
    </xf>
    <xf numFmtId="0" fontId="0" fillId="2" borderId="3" xfId="0" applyFill="1" applyBorder="1">
      <alignment vertical="center"/>
    </xf>
    <xf numFmtId="0" fontId="0" fillId="3" borderId="3" xfId="0" applyFill="1" applyBorder="1">
      <alignment vertical="center"/>
    </xf>
    <xf numFmtId="0" fontId="1" fillId="4" borderId="3" xfId="0" applyFont="1" applyFill="1" applyBorder="1" applyAlignment="1">
      <alignment vertical="center"/>
    </xf>
    <xf numFmtId="0" fontId="0" fillId="5" borderId="3" xfId="0" applyFill="1" applyBorder="1">
      <alignment vertical="center"/>
    </xf>
    <xf numFmtId="0" fontId="1" fillId="6" borderId="3" xfId="0" applyFont="1" applyFill="1" applyBorder="1" applyAlignment="1">
      <alignment vertical="center"/>
    </xf>
    <xf numFmtId="0" fontId="0" fillId="7" borderId="3" xfId="0" applyFill="1" applyBorder="1">
      <alignment vertical="center"/>
    </xf>
    <xf numFmtId="0" fontId="1" fillId="2" borderId="3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2" fillId="0" borderId="1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top"/>
    </xf>
    <xf numFmtId="176" fontId="4" fillId="0" borderId="0" xfId="0" applyNumberFormat="1" applyFont="1" applyFill="1" applyBorder="1" applyAlignment="1">
      <alignment horizontal="center" vertical="top"/>
    </xf>
    <xf numFmtId="0" fontId="3" fillId="0" borderId="11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top"/>
    </xf>
    <xf numFmtId="176" fontId="4" fillId="0" borderId="11" xfId="0" applyNumberFormat="1" applyFont="1" applyFill="1" applyBorder="1" applyAlignment="1">
      <alignment horizontal="center" vertical="top"/>
    </xf>
    <xf numFmtId="0" fontId="5" fillId="0" borderId="1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10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2">
    <dxf>
      <font>
        <b val="1"/>
        <i val="0"/>
        <u val="none"/>
        <sz val="11"/>
        <color rgb="FF000000"/>
      </font>
      <fill>
        <patternFill patternType="solid">
          <bgColor rgb="FFD9D9D9"/>
        </patternFill>
      </fill>
      <border>
        <left style="medium">
          <color rgb="FF595959"/>
        </left>
        <right style="medium">
          <color rgb="FF595959"/>
        </right>
        <top style="medium">
          <color rgb="FF595959"/>
        </top>
        <bottom/>
        <vertical style="medium">
          <color theme="0"/>
        </vertical>
        <horizontal/>
      </border>
    </dxf>
    <dxf>
      <fill>
        <patternFill patternType="none"/>
      </fill>
      <border>
        <left style="medium">
          <color rgb="FF5A5A5A"/>
        </left>
        <right style="medium">
          <color rgb="FF5A5A5A"/>
        </right>
        <top style="medium">
          <color rgb="FF5A5A5A"/>
        </top>
        <bottom style="medium">
          <color rgb="FF5A5A5A"/>
        </bottom>
        <vertical style="thin">
          <color rgb="FFEBEBEB"/>
        </vertical>
        <horizontal style="thin">
          <color rgb="FFEBEBEB"/>
        </horizontal>
      </border>
    </dxf>
    <dxf>
      <fill>
        <patternFill patternType="solid">
          <bgColor rgb="FFF0F0F0"/>
        </patternFill>
      </fill>
    </dxf>
    <dxf>
      <font>
        <b val="1"/>
        <i val="0"/>
        <u val="none"/>
        <sz val="11"/>
        <color rgb="FF5A5A5A"/>
      </font>
      <border>
        <left/>
        <right/>
        <top style="medium">
          <color rgb="FF5A5A5A"/>
        </top>
        <bottom style="medium">
          <color rgb="FF5A5A5A"/>
        </bottom>
        <vertical/>
        <horizontal/>
      </border>
    </dxf>
    <dxf>
      <fill>
        <patternFill patternType="none"/>
      </fill>
      <border>
        <left/>
        <right/>
        <top style="medium">
          <color rgb="FF5A5A5A"/>
        </top>
        <bottom style="medium">
          <color rgb="FF5A5A5A"/>
        </bottom>
        <vertical/>
        <horizontal/>
      </border>
    </dxf>
    <dxf>
      <font>
        <b val="1"/>
        <i val="0"/>
        <u val="none"/>
        <sz val="11"/>
        <color theme="0"/>
      </font>
      <fill>
        <patternFill patternType="solid">
          <bgColor rgb="FF08090C"/>
        </patternFill>
      </fill>
      <border>
        <left style="medium">
          <color rgb="FF08090C"/>
        </left>
        <right style="medium">
          <color rgb="FF08090C"/>
        </right>
        <top style="medium">
          <color rgb="FF08090C"/>
        </top>
        <bottom style="medium">
          <color rgb="FF08090C"/>
        </bottom>
        <vertical/>
        <horizontal/>
      </border>
    </dxf>
    <dxf>
      <fill>
        <patternFill patternType="none"/>
      </fill>
      <border>
        <left/>
        <right/>
        <top style="medium">
          <color rgb="FF08090C"/>
        </top>
        <bottom style="medium">
          <color rgb="FF08090C"/>
        </bottom>
        <vertical/>
        <horizontal style="medium">
          <color rgb="FFE0E0E0"/>
        </horizontal>
      </border>
    </dxf>
    <dxf>
      <font>
        <b val="1"/>
        <i val="0"/>
        <u val="none"/>
        <sz val="11"/>
        <color rgb="FF5A5A5A"/>
      </font>
      <border>
        <left/>
        <right/>
        <top style="medium">
          <color rgb="FF5A5A5A"/>
        </top>
        <bottom style="medium">
          <color rgb="FF5A5A5A"/>
        </bottom>
        <vertical/>
        <horizontal/>
      </border>
    </dxf>
    <dxf>
      <font>
        <b val="1"/>
        <i val="0"/>
        <u val="none"/>
        <sz val="11"/>
        <color theme="0"/>
      </font>
      <fill>
        <patternFill patternType="solid">
          <bgColor rgb="FF5A5A5A"/>
        </patternFill>
      </fill>
      <border>
        <left style="medium">
          <color rgb="FF5A5A5A"/>
        </left>
        <right style="medium">
          <color rgb="FF5A5A5A"/>
        </right>
        <top style="medium">
          <color rgb="FF5A5A5A"/>
        </top>
        <bottom style="medium">
          <color rgb="FF5A5A5A"/>
        </bottom>
        <vertical/>
        <horizontal/>
      </border>
    </dxf>
    <dxf>
      <fill>
        <patternFill patternType="none"/>
      </fill>
      <border>
        <left style="thin">
          <color rgb="FFFFFFFF"/>
        </left>
        <right style="thin">
          <color rgb="FFFFFFFF"/>
        </right>
        <top style="medium">
          <color rgb="FF5A5A5A"/>
        </top>
        <bottom style="medium">
          <color rgb="FF5A5A5A"/>
        </bottom>
        <vertical/>
        <horizontal style="medium">
          <color rgb="FFE0E0E0"/>
        </horizontal>
      </border>
    </dxf>
    <dxf>
      <font>
        <b val="1"/>
        <i val="0"/>
        <u val="none"/>
        <sz val="11"/>
        <color rgb="FF5A5A5A"/>
      </font>
      <border>
        <left/>
        <right/>
        <top style="medium">
          <color rgb="FF5A5A5A"/>
        </top>
        <bottom style="medium">
          <color rgb="FF5A5A5A"/>
        </bottom>
        <vertical/>
        <horizontal/>
      </border>
    </dxf>
    <dxf>
      <fill>
        <patternFill patternType="none"/>
      </fill>
      <border>
        <left/>
        <right/>
        <top style="medium">
          <color rgb="FF5A5A5A"/>
        </top>
        <bottom style="medium">
          <color rgb="FF5A5A5A"/>
        </bottom>
        <vertical/>
        <horizontal/>
      </border>
    </dxf>
  </dxfs>
  <tableStyles count="5" defaultTableStyle="TableStyleMedium2" defaultPivotStyle="PivotStyleLight16">
    <tableStyle name="黑色浅色系标题行表格样式" count="2" xr9:uid="{D0F05B5E-67DE-48D9-94ED-495F06DB2DCD}">
      <tableStyleElement type="wholeTable" dxfId="1"/>
      <tableStyleElement type="headerRow" dxfId="0"/>
    </tableStyle>
    <tableStyle name="黑色中色系三线式镶边行表格样式" count="3" xr9:uid="{5BA98BF1-BE64-4A5E-857E-D33711FA5225}">
      <tableStyleElement type="wholeTable" dxfId="4"/>
      <tableStyleElement type="headerRow" dxfId="3"/>
      <tableStyleElement type="secondRowStripe" dxfId="2"/>
    </tableStyle>
    <tableStyle name="黑色深色系标题行表格样式" count="2" xr9:uid="{F82D922D-0A0D-4511-B238-05F6C4C18F52}">
      <tableStyleElement type="wholeTable" dxfId="6"/>
      <tableStyleElement type="headerRow" dxfId="5"/>
    </tableStyle>
    <tableStyle name="黑色中色系标题行汇总行表格样式" count="3" xr9:uid="{ADE14AB1-98F6-400C-8107-FC35B13276A6}">
      <tableStyleElement type="wholeTable" dxfId="9"/>
      <tableStyleElement type="headerRow" dxfId="8"/>
      <tableStyleElement type="totalRow" dxfId="7"/>
    </tableStyle>
    <tableStyle name="黑色简约中色系三线式表格样式" count="2" xr9:uid="{A47CA318-4704-4B32-9378-881EBB870F3E}">
      <tableStyleElement type="wholeTable" dxfId="11"/>
      <tableStyleElement type="headerRow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7"/>
  <sheetViews>
    <sheetView tabSelected="1" zoomScale="85" zoomScaleNormal="85" topLeftCell="D17" workbookViewId="0">
      <selection activeCell="J23" sqref="J23:J37"/>
    </sheetView>
  </sheetViews>
  <sheetFormatPr defaultColWidth="9" defaultRowHeight="14.4"/>
  <cols>
    <col min="1" max="1" width="15.2222222222222" customWidth="1"/>
    <col min="8" max="8" width="13.8888888888889" customWidth="1"/>
    <col min="10" max="10" width="18.2962962962963" customWidth="1"/>
    <col min="11" max="11" width="13.6666666666667" customWidth="1"/>
    <col min="12" max="12" width="25.3333333333333" customWidth="1"/>
    <col min="13" max="13" width="26.4444444444444" customWidth="1"/>
    <col min="14" max="14" width="32.8518518518519" customWidth="1"/>
    <col min="18" max="18" width="11.4907407407407" customWidth="1"/>
  </cols>
  <sheetData>
    <row r="1" spans="1:6">
      <c r="A1" t="s">
        <v>0</v>
      </c>
      <c r="B1">
        <v>0</v>
      </c>
      <c r="C1" t="s">
        <v>1</v>
      </c>
      <c r="D1" t="s">
        <v>2</v>
      </c>
      <c r="E1" t="s">
        <v>3</v>
      </c>
      <c r="F1" t="s">
        <v>4</v>
      </c>
    </row>
    <row r="2" ht="17.4" customHeight="1" spans="1:6">
      <c r="A2" s="10" t="s">
        <v>5</v>
      </c>
      <c r="B2" s="4">
        <v>10</v>
      </c>
      <c r="C2" s="4">
        <v>7</v>
      </c>
      <c r="D2" s="4">
        <v>6</v>
      </c>
      <c r="E2" s="4">
        <v>6</v>
      </c>
      <c r="F2" s="4">
        <v>5</v>
      </c>
    </row>
    <row r="3" ht="17.4" spans="1:6">
      <c r="A3" s="11" t="s">
        <v>6</v>
      </c>
      <c r="B3" s="5">
        <v>10</v>
      </c>
      <c r="C3" s="5">
        <v>10</v>
      </c>
      <c r="D3" s="5">
        <v>9</v>
      </c>
      <c r="E3" s="5">
        <v>9</v>
      </c>
      <c r="F3" s="5">
        <v>8</v>
      </c>
    </row>
    <row r="4" ht="17.4" spans="1:6">
      <c r="A4" s="11" t="s">
        <v>7</v>
      </c>
      <c r="B4" s="5">
        <v>10</v>
      </c>
      <c r="C4" s="5">
        <v>10</v>
      </c>
      <c r="D4" s="5">
        <v>7</v>
      </c>
      <c r="E4" s="5">
        <v>7</v>
      </c>
      <c r="F4" s="5">
        <v>7</v>
      </c>
    </row>
    <row r="5" ht="17.4" spans="1:6">
      <c r="A5" s="11" t="s">
        <v>8</v>
      </c>
      <c r="B5" s="5">
        <v>10</v>
      </c>
      <c r="C5" s="5">
        <v>9</v>
      </c>
      <c r="D5" s="5">
        <v>9</v>
      </c>
      <c r="E5" s="5">
        <v>9</v>
      </c>
      <c r="F5" s="5">
        <v>9</v>
      </c>
    </row>
    <row r="6" ht="17.4" spans="1:6">
      <c r="A6" s="11" t="s">
        <v>9</v>
      </c>
      <c r="B6" s="5">
        <v>10</v>
      </c>
      <c r="C6" s="5">
        <v>9</v>
      </c>
      <c r="D6" s="5">
        <v>7</v>
      </c>
      <c r="E6" s="5">
        <v>6</v>
      </c>
      <c r="F6" s="5">
        <v>3</v>
      </c>
    </row>
    <row r="7" ht="17.4" spans="1:6">
      <c r="A7" s="11" t="s">
        <v>10</v>
      </c>
      <c r="B7" s="5">
        <v>10</v>
      </c>
      <c r="C7" s="5">
        <v>4</v>
      </c>
      <c r="D7" s="5">
        <v>0</v>
      </c>
      <c r="E7" s="5">
        <v>0</v>
      </c>
      <c r="F7" s="5">
        <v>0</v>
      </c>
    </row>
    <row r="8" spans="7:7">
      <c r="G8" s="7"/>
    </row>
    <row r="9" spans="7:7">
      <c r="G9" s="7"/>
    </row>
    <row r="10" spans="7:7">
      <c r="G10" s="7"/>
    </row>
    <row r="11" spans="7:7">
      <c r="G11" s="7"/>
    </row>
    <row r="12" customHeight="1" spans="7:7">
      <c r="G12" s="7"/>
    </row>
    <row r="13" ht="17.4" spans="2:7">
      <c r="B13" s="8"/>
      <c r="C13" s="9"/>
      <c r="D13" s="9"/>
      <c r="E13" s="9"/>
      <c r="F13" s="9"/>
      <c r="G13" s="9"/>
    </row>
    <row r="14" ht="17.4" spans="2:7">
      <c r="B14" s="8"/>
      <c r="C14" s="9"/>
      <c r="D14" s="9"/>
      <c r="E14" s="9"/>
      <c r="F14" s="9"/>
      <c r="G14" s="9"/>
    </row>
    <row r="15" ht="17.4" spans="2:7">
      <c r="B15" s="8"/>
      <c r="C15" s="9"/>
      <c r="D15" s="9"/>
      <c r="E15" s="9"/>
      <c r="F15" s="9"/>
      <c r="G15" s="9"/>
    </row>
    <row r="16" ht="17.4" spans="2:7">
      <c r="B16" s="8"/>
      <c r="C16" s="9"/>
      <c r="D16" s="9"/>
      <c r="E16" s="9"/>
      <c r="F16" s="9"/>
      <c r="G16" s="9"/>
    </row>
    <row r="17" ht="17.4" spans="2:7">
      <c r="B17" s="8"/>
      <c r="C17" s="9"/>
      <c r="D17" s="9"/>
      <c r="E17" s="9"/>
      <c r="F17" s="9"/>
      <c r="G17" s="9"/>
    </row>
    <row r="20" ht="1" customHeight="1"/>
    <row r="21" ht="46" customHeight="1" spans="1:14">
      <c r="A21" t="s">
        <v>11</v>
      </c>
      <c r="C21">
        <v>0</v>
      </c>
      <c r="D21" t="s">
        <v>1</v>
      </c>
      <c r="E21" t="s">
        <v>2</v>
      </c>
      <c r="F21" t="s">
        <v>3</v>
      </c>
      <c r="G21" t="s">
        <v>4</v>
      </c>
      <c r="H21" t="s">
        <v>12</v>
      </c>
      <c r="K21" s="18" t="s">
        <v>13</v>
      </c>
      <c r="L21" s="18" t="s">
        <v>14</v>
      </c>
      <c r="M21" s="18" t="s">
        <v>15</v>
      </c>
      <c r="N21" s="18" t="s">
        <v>16</v>
      </c>
    </row>
    <row r="22" ht="20" customHeight="1" spans="1:14">
      <c r="A22">
        <v>0</v>
      </c>
      <c r="B22" s="12" t="s">
        <v>5</v>
      </c>
      <c r="C22" s="13">
        <v>10</v>
      </c>
      <c r="D22" s="13">
        <v>7</v>
      </c>
      <c r="E22" s="13">
        <v>6</v>
      </c>
      <c r="F22" s="13">
        <v>6</v>
      </c>
      <c r="G22" s="13">
        <v>5</v>
      </c>
      <c r="H22" s="14">
        <v>5</v>
      </c>
      <c r="I22" s="2">
        <f>H22/C22</f>
        <v>0.5</v>
      </c>
      <c r="K22" s="19" t="s">
        <v>5</v>
      </c>
      <c r="L22" s="20">
        <v>0</v>
      </c>
      <c r="M22" s="20">
        <v>0</v>
      </c>
      <c r="N22" s="21">
        <f>L22/64</f>
        <v>0</v>
      </c>
    </row>
    <row r="23" ht="20" customHeight="1" spans="1:14">
      <c r="A23">
        <v>25</v>
      </c>
      <c r="B23" s="1" t="s">
        <v>6</v>
      </c>
      <c r="C23" s="4">
        <v>10</v>
      </c>
      <c r="D23" s="4">
        <v>10</v>
      </c>
      <c r="E23" s="4">
        <v>9</v>
      </c>
      <c r="F23" s="4">
        <v>9</v>
      </c>
      <c r="G23" s="4">
        <v>8</v>
      </c>
      <c r="H23" s="15">
        <v>8</v>
      </c>
      <c r="I23" s="2">
        <f t="shared" ref="I23:I37" si="0">H23/C23</f>
        <v>0.8</v>
      </c>
      <c r="J23" s="2">
        <f>(I23-0.5)/0.5</f>
        <v>0.6</v>
      </c>
      <c r="K23" s="19" t="s">
        <v>6</v>
      </c>
      <c r="L23" s="20">
        <v>25</v>
      </c>
      <c r="M23" s="20">
        <v>0</v>
      </c>
      <c r="N23" s="21">
        <f t="shared" ref="N23:N37" si="1">L23/64</f>
        <v>0.390625</v>
      </c>
    </row>
    <row r="24" ht="20" customHeight="1" spans="1:14">
      <c r="A24">
        <v>250</v>
      </c>
      <c r="B24" s="1" t="s">
        <v>7</v>
      </c>
      <c r="C24" s="4">
        <v>10</v>
      </c>
      <c r="D24" s="4">
        <v>10</v>
      </c>
      <c r="E24" s="4">
        <v>7</v>
      </c>
      <c r="F24" s="4">
        <v>7</v>
      </c>
      <c r="G24" s="4">
        <v>7</v>
      </c>
      <c r="H24" s="15">
        <v>7</v>
      </c>
      <c r="I24" s="2">
        <f t="shared" si="0"/>
        <v>0.7</v>
      </c>
      <c r="J24" s="2">
        <f t="shared" ref="J24:J37" si="2">(I24-0.5)/0.5</f>
        <v>0.4</v>
      </c>
      <c r="K24" s="19" t="s">
        <v>7</v>
      </c>
      <c r="L24" s="20">
        <v>250</v>
      </c>
      <c r="M24" s="20">
        <v>0</v>
      </c>
      <c r="N24" s="21">
        <f t="shared" si="1"/>
        <v>3.90625</v>
      </c>
    </row>
    <row r="25" ht="20" customHeight="1" spans="1:14">
      <c r="A25">
        <v>500</v>
      </c>
      <c r="B25" s="1" t="s">
        <v>8</v>
      </c>
      <c r="C25" s="4">
        <v>10</v>
      </c>
      <c r="D25" s="4">
        <v>9</v>
      </c>
      <c r="E25" s="4">
        <v>9</v>
      </c>
      <c r="F25" s="4">
        <v>9</v>
      </c>
      <c r="G25" s="4">
        <v>9</v>
      </c>
      <c r="H25" s="15">
        <v>9</v>
      </c>
      <c r="I25" s="2">
        <f t="shared" si="0"/>
        <v>0.9</v>
      </c>
      <c r="J25" s="2">
        <f t="shared" si="2"/>
        <v>0.8</v>
      </c>
      <c r="K25" s="19" t="s">
        <v>8</v>
      </c>
      <c r="L25" s="20">
        <v>500</v>
      </c>
      <c r="M25" s="20">
        <v>0</v>
      </c>
      <c r="N25" s="21">
        <f t="shared" si="1"/>
        <v>7.8125</v>
      </c>
    </row>
    <row r="26" ht="20" customHeight="1" spans="1:14">
      <c r="A26">
        <v>2500</v>
      </c>
      <c r="B26" s="1" t="s">
        <v>9</v>
      </c>
      <c r="C26" s="4">
        <v>10</v>
      </c>
      <c r="D26" s="4">
        <v>9</v>
      </c>
      <c r="E26" s="4">
        <v>7</v>
      </c>
      <c r="F26" s="4">
        <v>6</v>
      </c>
      <c r="G26" s="4">
        <v>3</v>
      </c>
      <c r="H26" s="15">
        <v>3</v>
      </c>
      <c r="I26" s="2">
        <f t="shared" si="0"/>
        <v>0.3</v>
      </c>
      <c r="J26" s="2">
        <f t="shared" si="2"/>
        <v>-0.4</v>
      </c>
      <c r="K26" s="19" t="s">
        <v>9</v>
      </c>
      <c r="L26" s="20">
        <v>2500</v>
      </c>
      <c r="M26" s="20">
        <v>0</v>
      </c>
      <c r="N26" s="21">
        <f t="shared" si="1"/>
        <v>39.0625</v>
      </c>
    </row>
    <row r="27" ht="20" customHeight="1" spans="1:14">
      <c r="A27">
        <v>5000</v>
      </c>
      <c r="B27" s="1" t="s">
        <v>10</v>
      </c>
      <c r="C27" s="4">
        <v>10</v>
      </c>
      <c r="D27" s="4">
        <v>4</v>
      </c>
      <c r="E27" s="4">
        <v>0</v>
      </c>
      <c r="F27" s="4">
        <v>0</v>
      </c>
      <c r="G27" s="4">
        <v>0</v>
      </c>
      <c r="H27" s="15">
        <v>0</v>
      </c>
      <c r="I27" s="2">
        <f t="shared" si="0"/>
        <v>0</v>
      </c>
      <c r="J27" s="2">
        <f t="shared" si="2"/>
        <v>-1</v>
      </c>
      <c r="K27" s="19" t="s">
        <v>10</v>
      </c>
      <c r="L27" s="20">
        <v>5000</v>
      </c>
      <c r="M27" s="20">
        <v>0</v>
      </c>
      <c r="N27" s="21">
        <f t="shared" si="1"/>
        <v>78.125</v>
      </c>
    </row>
    <row r="28" ht="20" customHeight="1" spans="1:14">
      <c r="A28">
        <v>25</v>
      </c>
      <c r="B28" s="1" t="s">
        <v>17</v>
      </c>
      <c r="C28" s="4">
        <v>10</v>
      </c>
      <c r="D28" s="4">
        <v>8</v>
      </c>
      <c r="E28" s="4">
        <v>7</v>
      </c>
      <c r="F28" s="4">
        <v>4</v>
      </c>
      <c r="G28" s="4">
        <v>4</v>
      </c>
      <c r="H28" s="15">
        <v>4</v>
      </c>
      <c r="I28" s="2">
        <f t="shared" si="0"/>
        <v>0.4</v>
      </c>
      <c r="J28" s="2">
        <f t="shared" si="2"/>
        <v>-0.2</v>
      </c>
      <c r="K28" s="19" t="s">
        <v>17</v>
      </c>
      <c r="L28" s="20">
        <v>25</v>
      </c>
      <c r="M28" s="20">
        <v>0</v>
      </c>
      <c r="N28" s="21">
        <f t="shared" si="1"/>
        <v>0.390625</v>
      </c>
    </row>
    <row r="29" ht="20" customHeight="1" spans="1:14">
      <c r="A29">
        <v>250</v>
      </c>
      <c r="B29" s="1" t="s">
        <v>18</v>
      </c>
      <c r="C29" s="4">
        <v>10</v>
      </c>
      <c r="D29" s="4">
        <v>10</v>
      </c>
      <c r="E29" s="4">
        <v>10</v>
      </c>
      <c r="F29" s="4">
        <v>10</v>
      </c>
      <c r="G29" s="4">
        <v>10</v>
      </c>
      <c r="H29" s="15">
        <v>7</v>
      </c>
      <c r="I29" s="2">
        <f t="shared" si="0"/>
        <v>0.7</v>
      </c>
      <c r="J29" s="2">
        <f t="shared" si="2"/>
        <v>0.4</v>
      </c>
      <c r="K29" s="19" t="s">
        <v>18</v>
      </c>
      <c r="L29" s="20">
        <v>250</v>
      </c>
      <c r="M29" s="20">
        <v>0</v>
      </c>
      <c r="N29" s="21">
        <f t="shared" si="1"/>
        <v>3.90625</v>
      </c>
    </row>
    <row r="30" ht="20" customHeight="1" spans="1:14">
      <c r="A30">
        <v>500</v>
      </c>
      <c r="B30" s="1" t="s">
        <v>19</v>
      </c>
      <c r="C30" s="4">
        <v>10</v>
      </c>
      <c r="D30" s="4">
        <v>10</v>
      </c>
      <c r="E30" s="4">
        <v>10</v>
      </c>
      <c r="F30" s="4">
        <v>10</v>
      </c>
      <c r="G30" s="4">
        <v>10</v>
      </c>
      <c r="H30" s="15">
        <v>10</v>
      </c>
      <c r="I30" s="2">
        <f t="shared" si="0"/>
        <v>1</v>
      </c>
      <c r="J30" s="2">
        <f t="shared" si="2"/>
        <v>1</v>
      </c>
      <c r="K30" s="19" t="s">
        <v>19</v>
      </c>
      <c r="L30" s="20">
        <v>500</v>
      </c>
      <c r="M30" s="20">
        <v>0</v>
      </c>
      <c r="N30" s="21">
        <f t="shared" si="1"/>
        <v>7.8125</v>
      </c>
    </row>
    <row r="31" ht="20" customHeight="1" spans="1:14">
      <c r="A31">
        <v>2500</v>
      </c>
      <c r="B31" s="1" t="s">
        <v>20</v>
      </c>
      <c r="C31" s="4">
        <v>10</v>
      </c>
      <c r="D31" s="4">
        <v>10</v>
      </c>
      <c r="E31" s="4">
        <v>8</v>
      </c>
      <c r="F31" s="4">
        <v>6</v>
      </c>
      <c r="G31" s="4">
        <v>6</v>
      </c>
      <c r="H31" s="15">
        <v>6</v>
      </c>
      <c r="I31" s="2">
        <f t="shared" si="0"/>
        <v>0.6</v>
      </c>
      <c r="J31" s="2">
        <f t="shared" si="2"/>
        <v>0.2</v>
      </c>
      <c r="K31" s="19" t="s">
        <v>20</v>
      </c>
      <c r="L31" s="20">
        <v>2500</v>
      </c>
      <c r="M31" s="20">
        <v>0</v>
      </c>
      <c r="N31" s="21">
        <f t="shared" si="1"/>
        <v>39.0625</v>
      </c>
    </row>
    <row r="32" ht="20" customHeight="1" spans="1:14">
      <c r="A32">
        <v>5000</v>
      </c>
      <c r="B32" s="1" t="s">
        <v>21</v>
      </c>
      <c r="C32" s="4">
        <v>10</v>
      </c>
      <c r="D32" s="4">
        <v>6</v>
      </c>
      <c r="E32" s="4">
        <v>3</v>
      </c>
      <c r="F32" s="4">
        <v>3</v>
      </c>
      <c r="G32" s="4">
        <v>3</v>
      </c>
      <c r="H32" s="15">
        <v>3</v>
      </c>
      <c r="I32" s="2">
        <f t="shared" si="0"/>
        <v>0.3</v>
      </c>
      <c r="J32" s="2">
        <f t="shared" si="2"/>
        <v>-0.4</v>
      </c>
      <c r="K32" s="19" t="s">
        <v>21</v>
      </c>
      <c r="L32" s="20">
        <v>5000</v>
      </c>
      <c r="M32" s="20">
        <v>0</v>
      </c>
      <c r="N32" s="21">
        <f t="shared" si="1"/>
        <v>78.125</v>
      </c>
    </row>
    <row r="33" ht="20" customHeight="1" spans="1:14">
      <c r="A33">
        <v>25</v>
      </c>
      <c r="B33" s="1" t="s">
        <v>22</v>
      </c>
      <c r="C33" s="4">
        <v>10</v>
      </c>
      <c r="D33" s="4">
        <v>10</v>
      </c>
      <c r="E33" s="4">
        <v>10</v>
      </c>
      <c r="F33" s="4">
        <v>10</v>
      </c>
      <c r="G33" s="4">
        <v>10</v>
      </c>
      <c r="H33" s="15">
        <v>10</v>
      </c>
      <c r="I33" s="2">
        <f t="shared" si="0"/>
        <v>1</v>
      </c>
      <c r="J33" s="2">
        <f t="shared" si="2"/>
        <v>1</v>
      </c>
      <c r="K33" s="19" t="s">
        <v>22</v>
      </c>
      <c r="L33" s="20">
        <v>12.5</v>
      </c>
      <c r="M33" s="20">
        <v>12.5</v>
      </c>
      <c r="N33" s="21">
        <f t="shared" si="1"/>
        <v>0.1953125</v>
      </c>
    </row>
    <row r="34" ht="20" customHeight="1" spans="1:14">
      <c r="A34">
        <v>250</v>
      </c>
      <c r="B34" s="1" t="s">
        <v>23</v>
      </c>
      <c r="C34" s="4">
        <v>10</v>
      </c>
      <c r="D34" s="4">
        <v>10</v>
      </c>
      <c r="E34" s="4">
        <v>9</v>
      </c>
      <c r="F34" s="4">
        <v>9</v>
      </c>
      <c r="G34" s="4">
        <v>8</v>
      </c>
      <c r="H34" s="15">
        <v>8</v>
      </c>
      <c r="I34" s="2">
        <f t="shared" si="0"/>
        <v>0.8</v>
      </c>
      <c r="J34" s="2">
        <f t="shared" si="2"/>
        <v>0.6</v>
      </c>
      <c r="K34" s="19" t="s">
        <v>23</v>
      </c>
      <c r="L34" s="20">
        <v>125</v>
      </c>
      <c r="M34" s="20">
        <v>125</v>
      </c>
      <c r="N34" s="21">
        <f t="shared" si="1"/>
        <v>1.953125</v>
      </c>
    </row>
    <row r="35" ht="20" customHeight="1" spans="1:14">
      <c r="A35">
        <v>500</v>
      </c>
      <c r="B35" s="1" t="s">
        <v>24</v>
      </c>
      <c r="C35" s="4">
        <v>10</v>
      </c>
      <c r="D35" s="4">
        <v>10</v>
      </c>
      <c r="E35" s="4">
        <v>9</v>
      </c>
      <c r="F35" s="4">
        <v>9</v>
      </c>
      <c r="G35" s="4">
        <v>9</v>
      </c>
      <c r="H35" s="15">
        <v>9</v>
      </c>
      <c r="I35" s="2">
        <f t="shared" si="0"/>
        <v>0.9</v>
      </c>
      <c r="J35" s="2">
        <f t="shared" si="2"/>
        <v>0.8</v>
      </c>
      <c r="K35" s="19" t="s">
        <v>24</v>
      </c>
      <c r="L35" s="20">
        <v>250</v>
      </c>
      <c r="M35" s="20">
        <v>250</v>
      </c>
      <c r="N35" s="21">
        <f t="shared" si="1"/>
        <v>3.90625</v>
      </c>
    </row>
    <row r="36" ht="20" customHeight="1" spans="1:14">
      <c r="A36">
        <v>2500</v>
      </c>
      <c r="B36" s="1" t="s">
        <v>25</v>
      </c>
      <c r="C36" s="4">
        <v>10</v>
      </c>
      <c r="D36" s="4">
        <v>10</v>
      </c>
      <c r="E36" s="4">
        <v>10</v>
      </c>
      <c r="F36" s="4">
        <v>10</v>
      </c>
      <c r="G36" s="4">
        <v>10</v>
      </c>
      <c r="H36" s="15">
        <v>10</v>
      </c>
      <c r="I36" s="2">
        <f t="shared" si="0"/>
        <v>1</v>
      </c>
      <c r="J36" s="2">
        <f t="shared" si="2"/>
        <v>1</v>
      </c>
      <c r="K36" s="19" t="s">
        <v>25</v>
      </c>
      <c r="L36" s="20">
        <v>1250</v>
      </c>
      <c r="M36" s="20">
        <v>1250</v>
      </c>
      <c r="N36" s="21">
        <f t="shared" si="1"/>
        <v>19.53125</v>
      </c>
    </row>
    <row r="37" ht="20" customHeight="1" spans="1:14">
      <c r="A37">
        <v>5000</v>
      </c>
      <c r="B37" s="3" t="s">
        <v>26</v>
      </c>
      <c r="C37" s="16">
        <v>10</v>
      </c>
      <c r="D37" s="16">
        <v>10</v>
      </c>
      <c r="E37" s="16">
        <v>9</v>
      </c>
      <c r="F37" s="16">
        <v>5</v>
      </c>
      <c r="G37" s="16">
        <v>3</v>
      </c>
      <c r="H37" s="17">
        <v>3</v>
      </c>
      <c r="I37" s="2">
        <f t="shared" si="0"/>
        <v>0.3</v>
      </c>
      <c r="J37" s="2">
        <f t="shared" si="2"/>
        <v>-0.4</v>
      </c>
      <c r="K37" s="22" t="s">
        <v>26</v>
      </c>
      <c r="L37" s="23">
        <v>2500</v>
      </c>
      <c r="M37" s="23">
        <v>2500</v>
      </c>
      <c r="N37" s="24">
        <f t="shared" si="1"/>
        <v>39.0625</v>
      </c>
    </row>
    <row r="40" ht="15.15"/>
    <row r="41" ht="15.15" spans="11:18">
      <c r="K41" s="25" t="s">
        <v>27</v>
      </c>
      <c r="L41" s="25" t="s">
        <v>28</v>
      </c>
      <c r="M41" s="25" t="s">
        <v>29</v>
      </c>
      <c r="N41" s="25" t="s">
        <v>30</v>
      </c>
      <c r="O41" s="25" t="s">
        <v>31</v>
      </c>
      <c r="P41" s="25" t="s">
        <v>32</v>
      </c>
      <c r="Q41" s="25" t="s">
        <v>33</v>
      </c>
      <c r="R41" s="25" t="s">
        <v>34</v>
      </c>
    </row>
    <row r="42" ht="20" customHeight="1" spans="11:18">
      <c r="K42" s="26" t="s">
        <v>35</v>
      </c>
      <c r="L42" s="26" t="s">
        <v>6</v>
      </c>
      <c r="M42" s="26">
        <v>3</v>
      </c>
      <c r="N42" s="26">
        <v>322.11</v>
      </c>
      <c r="O42" s="26">
        <v>2.063</v>
      </c>
      <c r="P42" s="26">
        <v>24.36</v>
      </c>
      <c r="Q42" s="26" t="s">
        <v>36</v>
      </c>
      <c r="R42" s="26">
        <v>0.686</v>
      </c>
    </row>
    <row r="43" ht="20" customHeight="1" spans="11:18">
      <c r="K43" s="26"/>
      <c r="L43" s="26" t="s">
        <v>7</v>
      </c>
      <c r="M43" s="26">
        <v>3</v>
      </c>
      <c r="N43" s="26">
        <v>287.49</v>
      </c>
      <c r="O43" s="26">
        <v>19.87</v>
      </c>
      <c r="P43" s="26"/>
      <c r="Q43" s="26"/>
      <c r="R43" s="26"/>
    </row>
    <row r="44" ht="20" customHeight="1" spans="11:18">
      <c r="K44" s="26"/>
      <c r="L44" s="26" t="s">
        <v>8</v>
      </c>
      <c r="M44" s="26">
        <v>3</v>
      </c>
      <c r="N44" s="26">
        <v>229.306</v>
      </c>
      <c r="O44" s="26">
        <v>1.404</v>
      </c>
      <c r="P44" s="26"/>
      <c r="Q44" s="26"/>
      <c r="R44" s="26"/>
    </row>
    <row r="45" ht="20" customHeight="1" spans="11:18">
      <c r="K45" s="26"/>
      <c r="L45" s="26" t="s">
        <v>9</v>
      </c>
      <c r="M45" s="26">
        <v>3</v>
      </c>
      <c r="N45" s="26">
        <v>219.657</v>
      </c>
      <c r="O45" s="26">
        <v>2.242</v>
      </c>
      <c r="P45" s="26"/>
      <c r="Q45" s="26"/>
      <c r="R45" s="26"/>
    </row>
    <row r="46" ht="20" customHeight="1" spans="11:18">
      <c r="K46" s="26"/>
      <c r="L46" s="26" t="s">
        <v>37</v>
      </c>
      <c r="M46" s="26">
        <v>3</v>
      </c>
      <c r="N46" s="26">
        <v>197.46</v>
      </c>
      <c r="O46" s="26">
        <v>19.499</v>
      </c>
      <c r="P46" s="26"/>
      <c r="Q46" s="26"/>
      <c r="R46" s="26"/>
    </row>
    <row r="47" ht="20" customHeight="1" spans="11:18">
      <c r="K47" s="26"/>
      <c r="L47" s="26" t="s">
        <v>38</v>
      </c>
      <c r="M47" s="26">
        <v>3</v>
      </c>
      <c r="N47" s="26">
        <v>159.576</v>
      </c>
      <c r="O47" s="26">
        <v>3.093</v>
      </c>
      <c r="P47" s="26"/>
      <c r="Q47" s="26"/>
      <c r="R47" s="26"/>
    </row>
    <row r="48" ht="20" customHeight="1" spans="11:18">
      <c r="K48" s="26"/>
      <c r="L48" s="26" t="s">
        <v>39</v>
      </c>
      <c r="M48" s="26">
        <v>3</v>
      </c>
      <c r="N48" s="26">
        <v>196.983</v>
      </c>
      <c r="O48" s="26">
        <v>5.443</v>
      </c>
      <c r="P48" s="26"/>
      <c r="Q48" s="26"/>
      <c r="R48" s="26"/>
    </row>
    <row r="49" ht="20" customHeight="1" spans="11:18">
      <c r="K49" s="26"/>
      <c r="L49" s="26" t="s">
        <v>40</v>
      </c>
      <c r="M49" s="26">
        <v>3</v>
      </c>
      <c r="N49" s="26">
        <v>227.567</v>
      </c>
      <c r="O49" s="26">
        <v>3.306</v>
      </c>
      <c r="P49" s="26"/>
      <c r="Q49" s="26"/>
      <c r="R49" s="26"/>
    </row>
    <row r="50" ht="20" customHeight="1" spans="11:18">
      <c r="K50" s="26"/>
      <c r="L50" s="26" t="s">
        <v>5</v>
      </c>
      <c r="M50" s="26">
        <v>3</v>
      </c>
      <c r="N50" s="26">
        <v>164.728</v>
      </c>
      <c r="O50" s="26">
        <v>22.339</v>
      </c>
      <c r="P50" s="26"/>
      <c r="Q50" s="26"/>
      <c r="R50" s="26"/>
    </row>
    <row r="51" ht="20" customHeight="1" spans="11:18">
      <c r="K51" s="27"/>
      <c r="L51" s="27" t="s">
        <v>41</v>
      </c>
      <c r="M51" s="27">
        <v>27</v>
      </c>
      <c r="N51" s="27">
        <v>220.49</v>
      </c>
      <c r="O51" s="27">
        <v>50.706</v>
      </c>
      <c r="P51" s="27"/>
      <c r="Q51" s="27"/>
      <c r="R51" s="27"/>
    </row>
    <row r="52" ht="125" customHeight="1" spans="11:18">
      <c r="K52" s="28" t="s">
        <v>42</v>
      </c>
      <c r="L52" s="29"/>
      <c r="M52" s="29"/>
      <c r="N52" s="29"/>
      <c r="O52" s="29"/>
      <c r="P52" s="29"/>
      <c r="Q52" s="29"/>
      <c r="R52" s="29"/>
    </row>
    <row r="56" ht="15.15"/>
    <row r="57" ht="15.15" customHeight="1" spans="11:18">
      <c r="K57" s="30" t="s">
        <v>43</v>
      </c>
      <c r="L57" s="30" t="s">
        <v>44</v>
      </c>
      <c r="M57" s="30" t="s">
        <v>45</v>
      </c>
      <c r="N57" s="30" t="s">
        <v>46</v>
      </c>
      <c r="O57" s="30" t="s">
        <v>47</v>
      </c>
      <c r="P57" s="30" t="s">
        <v>48</v>
      </c>
      <c r="Q57" s="31" t="s">
        <v>33</v>
      </c>
      <c r="R57" s="31" t="s">
        <v>49</v>
      </c>
    </row>
    <row r="58" ht="20" customHeight="1" spans="11:18">
      <c r="K58" s="26" t="s">
        <v>50</v>
      </c>
      <c r="L58" s="26" t="s">
        <v>6</v>
      </c>
      <c r="M58" s="26">
        <v>3</v>
      </c>
      <c r="N58" s="26">
        <v>53.263</v>
      </c>
      <c r="O58" s="26">
        <v>1.459</v>
      </c>
      <c r="P58" s="26">
        <v>23.386</v>
      </c>
      <c r="Q58" s="26" t="s">
        <v>51</v>
      </c>
      <c r="R58" s="26">
        <v>0.669</v>
      </c>
    </row>
    <row r="59" ht="20" customHeight="1" spans="11:18">
      <c r="K59" s="26"/>
      <c r="L59" s="26" t="s">
        <v>7</v>
      </c>
      <c r="M59" s="26">
        <v>3</v>
      </c>
      <c r="N59" s="26">
        <v>54.343</v>
      </c>
      <c r="O59" s="26">
        <v>1.661</v>
      </c>
      <c r="P59" s="26"/>
      <c r="Q59" s="26"/>
      <c r="R59" s="26"/>
    </row>
    <row r="60" ht="20" customHeight="1" spans="11:18">
      <c r="K60" s="26"/>
      <c r="L60" s="26" t="s">
        <v>8</v>
      </c>
      <c r="M60" s="26">
        <v>3</v>
      </c>
      <c r="N60" s="26">
        <v>46.279</v>
      </c>
      <c r="O60" s="26">
        <v>3.311</v>
      </c>
      <c r="P60" s="26"/>
      <c r="Q60" s="26"/>
      <c r="R60" s="26"/>
    </row>
    <row r="61" ht="20" customHeight="1" spans="11:18">
      <c r="K61" s="26"/>
      <c r="L61" s="26" t="s">
        <v>9</v>
      </c>
      <c r="M61" s="26">
        <v>3</v>
      </c>
      <c r="N61" s="26">
        <v>39.781</v>
      </c>
      <c r="O61" s="26">
        <v>1.712</v>
      </c>
      <c r="P61" s="26"/>
      <c r="Q61" s="26"/>
      <c r="R61" s="26"/>
    </row>
    <row r="62" ht="20" customHeight="1" spans="11:18">
      <c r="K62" s="26"/>
      <c r="L62" s="26" t="s">
        <v>37</v>
      </c>
      <c r="M62" s="26">
        <v>3</v>
      </c>
      <c r="N62" s="26">
        <v>46.148</v>
      </c>
      <c r="O62" s="26">
        <v>1.107</v>
      </c>
      <c r="P62" s="26"/>
      <c r="Q62" s="26"/>
      <c r="R62" s="26"/>
    </row>
    <row r="63" ht="20" customHeight="1" spans="11:18">
      <c r="K63" s="26"/>
      <c r="L63" s="26" t="s">
        <v>38</v>
      </c>
      <c r="M63" s="26">
        <v>3</v>
      </c>
      <c r="N63" s="26">
        <v>42.946</v>
      </c>
      <c r="O63" s="26">
        <v>2.202</v>
      </c>
      <c r="P63" s="26"/>
      <c r="Q63" s="26"/>
      <c r="R63" s="26"/>
    </row>
    <row r="64" ht="20" customHeight="1" spans="11:18">
      <c r="K64" s="26"/>
      <c r="L64" s="26" t="s">
        <v>39</v>
      </c>
      <c r="M64" s="26">
        <v>3</v>
      </c>
      <c r="N64" s="26">
        <v>47.107</v>
      </c>
      <c r="O64" s="26">
        <v>1.768</v>
      </c>
      <c r="P64" s="26"/>
      <c r="Q64" s="26"/>
      <c r="R64" s="26"/>
    </row>
    <row r="65" ht="20" customHeight="1" spans="11:18">
      <c r="K65" s="26"/>
      <c r="L65" s="26" t="s">
        <v>40</v>
      </c>
      <c r="M65" s="26">
        <v>3</v>
      </c>
      <c r="N65" s="26">
        <v>36.486</v>
      </c>
      <c r="O65" s="26">
        <v>3.729</v>
      </c>
      <c r="P65" s="26"/>
      <c r="Q65" s="26"/>
      <c r="R65" s="26"/>
    </row>
    <row r="66" ht="20" customHeight="1" spans="11:18">
      <c r="K66" s="26"/>
      <c r="L66" s="26" t="s">
        <v>5</v>
      </c>
      <c r="M66" s="26">
        <v>3</v>
      </c>
      <c r="N66" s="26">
        <v>35.118</v>
      </c>
      <c r="O66" s="26">
        <v>0.474</v>
      </c>
      <c r="P66" s="26"/>
      <c r="Q66" s="26"/>
      <c r="R66" s="26"/>
    </row>
    <row r="67" ht="20" customHeight="1" spans="11:18">
      <c r="K67" s="27"/>
      <c r="L67" s="27" t="s">
        <v>41</v>
      </c>
      <c r="M67" s="27">
        <v>27</v>
      </c>
      <c r="N67" s="27">
        <v>45.147</v>
      </c>
      <c r="O67" s="27">
        <v>6.704</v>
      </c>
      <c r="P67" s="27"/>
      <c r="Q67" s="27"/>
      <c r="R67" s="27"/>
    </row>
  </sheetData>
  <mergeCells count="9">
    <mergeCell ref="K52:R52"/>
    <mergeCell ref="K42:K51"/>
    <mergeCell ref="K58:K67"/>
    <mergeCell ref="P42:P51"/>
    <mergeCell ref="P58:P67"/>
    <mergeCell ref="Q42:Q51"/>
    <mergeCell ref="Q58:Q67"/>
    <mergeCell ref="R42:R51"/>
    <mergeCell ref="R58:R6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A6" sqref="A6:F10"/>
    </sheetView>
  </sheetViews>
  <sheetFormatPr defaultColWidth="9" defaultRowHeight="14.4" outlineLevelCol="5"/>
  <sheetData>
    <row r="1" ht="17.4" spans="1:6">
      <c r="A1" s="6" t="s">
        <v>17</v>
      </c>
      <c r="B1" s="7">
        <v>10</v>
      </c>
      <c r="C1" s="7">
        <v>8</v>
      </c>
      <c r="D1" s="7">
        <v>7</v>
      </c>
      <c r="E1" s="7">
        <v>4</v>
      </c>
      <c r="F1" s="7">
        <v>4</v>
      </c>
    </row>
    <row r="2" ht="17.4" spans="1:6">
      <c r="A2" s="6" t="s">
        <v>18</v>
      </c>
      <c r="B2" s="7">
        <v>10</v>
      </c>
      <c r="C2" s="7">
        <v>10</v>
      </c>
      <c r="D2" s="7">
        <v>10</v>
      </c>
      <c r="E2" s="7">
        <v>10</v>
      </c>
      <c r="F2" s="7">
        <v>7</v>
      </c>
    </row>
    <row r="3" ht="17.4" spans="1:6">
      <c r="A3" s="6" t="s">
        <v>19</v>
      </c>
      <c r="B3" s="7">
        <v>10</v>
      </c>
      <c r="C3" s="7">
        <v>10</v>
      </c>
      <c r="D3" s="7">
        <v>10</v>
      </c>
      <c r="E3" s="7">
        <v>10</v>
      </c>
      <c r="F3" s="7">
        <v>7</v>
      </c>
    </row>
    <row r="4" ht="17.4" spans="1:6">
      <c r="A4" s="6" t="s">
        <v>20</v>
      </c>
      <c r="B4" s="7">
        <v>10</v>
      </c>
      <c r="C4" s="7">
        <v>10</v>
      </c>
      <c r="D4" s="7">
        <v>8</v>
      </c>
      <c r="E4" s="7">
        <v>6</v>
      </c>
      <c r="F4" s="7">
        <v>5</v>
      </c>
    </row>
    <row r="5" ht="17.4" spans="1:6">
      <c r="A5" s="6" t="s">
        <v>21</v>
      </c>
      <c r="B5" s="7">
        <v>10</v>
      </c>
      <c r="C5" s="7">
        <v>6</v>
      </c>
      <c r="D5" s="7">
        <v>3</v>
      </c>
      <c r="E5" s="7">
        <v>3</v>
      </c>
      <c r="F5" s="7">
        <v>1</v>
      </c>
    </row>
    <row r="6" ht="17.4" spans="1:6">
      <c r="A6" s="8" t="s">
        <v>22</v>
      </c>
      <c r="B6" s="9">
        <v>10</v>
      </c>
      <c r="C6" s="9">
        <v>10</v>
      </c>
      <c r="D6" s="9">
        <v>10</v>
      </c>
      <c r="E6" s="9">
        <v>10</v>
      </c>
      <c r="F6" s="9">
        <v>9</v>
      </c>
    </row>
    <row r="7" ht="17.4" spans="1:6">
      <c r="A7" s="8" t="s">
        <v>23</v>
      </c>
      <c r="B7" s="9">
        <v>10</v>
      </c>
      <c r="C7" s="9">
        <v>10</v>
      </c>
      <c r="D7" s="9">
        <v>9</v>
      </c>
      <c r="E7" s="9">
        <v>9</v>
      </c>
      <c r="F7" s="9">
        <v>8</v>
      </c>
    </row>
    <row r="8" ht="17.4" spans="1:6">
      <c r="A8" s="8" t="s">
        <v>24</v>
      </c>
      <c r="B8" s="9">
        <v>10</v>
      </c>
      <c r="C8" s="9">
        <v>10</v>
      </c>
      <c r="D8" s="9">
        <v>9</v>
      </c>
      <c r="E8" s="9">
        <v>9</v>
      </c>
      <c r="F8" s="9">
        <v>9</v>
      </c>
    </row>
    <row r="9" ht="17.4" spans="1:6">
      <c r="A9" s="8" t="s">
        <v>25</v>
      </c>
      <c r="B9" s="9">
        <v>10</v>
      </c>
      <c r="C9" s="9">
        <v>10</v>
      </c>
      <c r="D9" s="9">
        <v>10</v>
      </c>
      <c r="E9" s="9">
        <v>10</v>
      </c>
      <c r="F9" s="9">
        <v>10</v>
      </c>
    </row>
    <row r="10" ht="17.4" spans="1:6">
      <c r="A10" s="8" t="s">
        <v>26</v>
      </c>
      <c r="B10" s="9">
        <v>10</v>
      </c>
      <c r="C10" s="9">
        <v>10</v>
      </c>
      <c r="D10" s="9">
        <v>9</v>
      </c>
      <c r="E10" s="9">
        <v>5</v>
      </c>
      <c r="F10" s="9">
        <v>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3"/>
  <sheetViews>
    <sheetView zoomScale="85" zoomScaleNormal="85" topLeftCell="N1" workbookViewId="0">
      <selection activeCell="U2" sqref="U2:U6"/>
    </sheetView>
  </sheetViews>
  <sheetFormatPr defaultColWidth="9" defaultRowHeight="14.4"/>
  <cols>
    <col min="6" max="6" width="12.8888888888889" style="2"/>
    <col min="13" max="13" width="12.8888888888889" style="2"/>
    <col min="17" max="17" width="12.8888888888889" style="2"/>
    <col min="19" max="19" width="12.8888888888889" style="2"/>
    <col min="21" max="21" width="12.8888888888889" style="2"/>
  </cols>
  <sheetData>
    <row r="1" spans="1:22">
      <c r="A1" t="s">
        <v>52</v>
      </c>
      <c r="B1">
        <v>0</v>
      </c>
      <c r="C1">
        <v>3</v>
      </c>
      <c r="D1">
        <v>7</v>
      </c>
      <c r="E1">
        <v>14</v>
      </c>
      <c r="I1">
        <v>0</v>
      </c>
      <c r="J1">
        <v>3</v>
      </c>
      <c r="K1">
        <v>7</v>
      </c>
      <c r="L1">
        <v>14</v>
      </c>
      <c r="O1">
        <v>0</v>
      </c>
      <c r="P1">
        <v>3</v>
      </c>
      <c r="R1">
        <v>7</v>
      </c>
      <c r="T1">
        <v>14</v>
      </c>
      <c r="V1" s="2"/>
    </row>
    <row r="2" ht="17.4" spans="1:22">
      <c r="A2" s="1" t="s">
        <v>53</v>
      </c>
      <c r="B2">
        <v>12</v>
      </c>
      <c r="C2">
        <v>1</v>
      </c>
      <c r="D2">
        <v>3</v>
      </c>
      <c r="E2">
        <v>4</v>
      </c>
      <c r="F2" s="2">
        <f>E2/B2</f>
        <v>0.333333333333333</v>
      </c>
      <c r="G2">
        <f>B2-E2</f>
        <v>8</v>
      </c>
      <c r="H2" s="1" t="s">
        <v>54</v>
      </c>
      <c r="I2">
        <v>12</v>
      </c>
      <c r="J2">
        <v>5</v>
      </c>
      <c r="K2">
        <v>2</v>
      </c>
      <c r="L2">
        <v>1</v>
      </c>
      <c r="M2" s="2">
        <f>L2/I2</f>
        <v>0.0833333333333333</v>
      </c>
      <c r="N2" s="1" t="s">
        <v>55</v>
      </c>
      <c r="O2">
        <v>12</v>
      </c>
      <c r="P2">
        <v>11</v>
      </c>
      <c r="Q2" s="2">
        <f>P2/O2</f>
        <v>0.916666666666667</v>
      </c>
      <c r="R2">
        <v>10</v>
      </c>
      <c r="S2" s="2">
        <f>R2/O2</f>
        <v>0.833333333333333</v>
      </c>
      <c r="T2" s="4">
        <v>10</v>
      </c>
      <c r="U2" s="2">
        <f>T2/O2</f>
        <v>0.833333333333333</v>
      </c>
      <c r="V2" s="2">
        <f>T2/O2</f>
        <v>0.833333333333333</v>
      </c>
    </row>
    <row r="3" ht="17.4" spans="1:22">
      <c r="A3" s="1" t="s">
        <v>56</v>
      </c>
      <c r="B3">
        <v>12</v>
      </c>
      <c r="C3">
        <v>0</v>
      </c>
      <c r="D3">
        <v>1</v>
      </c>
      <c r="E3">
        <v>11</v>
      </c>
      <c r="F3" s="2">
        <f t="shared" ref="F3:F21" si="0">E3/B3</f>
        <v>0.916666666666667</v>
      </c>
      <c r="G3">
        <f t="shared" ref="G3:G21" si="1">B3-E3</f>
        <v>1</v>
      </c>
      <c r="H3" s="1" t="s">
        <v>57</v>
      </c>
      <c r="I3">
        <v>12</v>
      </c>
      <c r="J3">
        <v>2</v>
      </c>
      <c r="K3">
        <v>3</v>
      </c>
      <c r="L3">
        <v>2</v>
      </c>
      <c r="M3" s="2">
        <f t="shared" ref="M3:M21" si="2">L3/I3</f>
        <v>0.166666666666667</v>
      </c>
      <c r="N3" s="1" t="s">
        <v>58</v>
      </c>
      <c r="O3">
        <v>12</v>
      </c>
      <c r="P3">
        <v>10</v>
      </c>
      <c r="Q3" s="2">
        <f>P3/O3</f>
        <v>0.833333333333333</v>
      </c>
      <c r="R3">
        <v>10</v>
      </c>
      <c r="S3" s="2">
        <f>R3/O3</f>
        <v>0.833333333333333</v>
      </c>
      <c r="T3" s="5">
        <v>9</v>
      </c>
      <c r="U3" s="2">
        <f>T3/O3</f>
        <v>0.75</v>
      </c>
      <c r="V3" s="2">
        <f>T3/O3</f>
        <v>0.75</v>
      </c>
    </row>
    <row r="4" ht="17.4" spans="1:22">
      <c r="A4" s="1" t="s">
        <v>59</v>
      </c>
      <c r="B4">
        <v>12</v>
      </c>
      <c r="C4">
        <v>2</v>
      </c>
      <c r="D4">
        <v>1</v>
      </c>
      <c r="E4">
        <v>3</v>
      </c>
      <c r="F4" s="2">
        <f t="shared" si="0"/>
        <v>0.25</v>
      </c>
      <c r="G4">
        <f t="shared" si="1"/>
        <v>9</v>
      </c>
      <c r="H4" s="1" t="s">
        <v>60</v>
      </c>
      <c r="I4">
        <v>12</v>
      </c>
      <c r="J4">
        <v>1</v>
      </c>
      <c r="K4">
        <v>3</v>
      </c>
      <c r="L4">
        <v>6</v>
      </c>
      <c r="M4" s="2">
        <f t="shared" si="2"/>
        <v>0.5</v>
      </c>
      <c r="N4" s="1" t="s">
        <v>61</v>
      </c>
      <c r="O4">
        <v>12</v>
      </c>
      <c r="P4">
        <v>10</v>
      </c>
      <c r="Q4" s="2">
        <f>P4/O4</f>
        <v>0.833333333333333</v>
      </c>
      <c r="R4">
        <v>10</v>
      </c>
      <c r="S4" s="2">
        <f>R4/O4</f>
        <v>0.833333333333333</v>
      </c>
      <c r="T4" s="5">
        <v>8</v>
      </c>
      <c r="U4" s="2">
        <f>T4/O4</f>
        <v>0.666666666666667</v>
      </c>
      <c r="V4" s="2">
        <f>T4/O4</f>
        <v>0.666666666666667</v>
      </c>
    </row>
    <row r="5" ht="17.4" spans="1:22">
      <c r="A5" s="1" t="s">
        <v>62</v>
      </c>
      <c r="B5">
        <v>12</v>
      </c>
      <c r="C5">
        <v>1</v>
      </c>
      <c r="D5">
        <v>2</v>
      </c>
      <c r="E5">
        <v>5</v>
      </c>
      <c r="F5" s="2">
        <f t="shared" si="0"/>
        <v>0.416666666666667</v>
      </c>
      <c r="G5">
        <f t="shared" si="1"/>
        <v>7</v>
      </c>
      <c r="H5" s="1" t="s">
        <v>63</v>
      </c>
      <c r="I5">
        <v>12</v>
      </c>
      <c r="J5">
        <v>3</v>
      </c>
      <c r="K5">
        <v>1</v>
      </c>
      <c r="L5">
        <v>2</v>
      </c>
      <c r="M5" s="2">
        <f t="shared" si="2"/>
        <v>0.166666666666667</v>
      </c>
      <c r="N5" s="1" t="s">
        <v>64</v>
      </c>
      <c r="O5">
        <v>12</v>
      </c>
      <c r="P5">
        <v>11</v>
      </c>
      <c r="Q5" s="2">
        <f>P5/O5</f>
        <v>0.916666666666667</v>
      </c>
      <c r="R5">
        <v>11</v>
      </c>
      <c r="S5" s="2">
        <f>R5/O5</f>
        <v>0.916666666666667</v>
      </c>
      <c r="T5" s="5">
        <v>9</v>
      </c>
      <c r="U5" s="2">
        <f>T5/O5</f>
        <v>0.75</v>
      </c>
      <c r="V5" s="2">
        <f>T5/O5</f>
        <v>0.75</v>
      </c>
    </row>
    <row r="6" ht="17.4" spans="1:22">
      <c r="A6" s="1" t="s">
        <v>65</v>
      </c>
      <c r="B6">
        <v>12</v>
      </c>
      <c r="C6">
        <v>2</v>
      </c>
      <c r="D6">
        <v>2</v>
      </c>
      <c r="E6">
        <v>5</v>
      </c>
      <c r="F6" s="2">
        <f t="shared" si="0"/>
        <v>0.416666666666667</v>
      </c>
      <c r="G6">
        <f t="shared" si="1"/>
        <v>7</v>
      </c>
      <c r="H6" s="1" t="s">
        <v>66</v>
      </c>
      <c r="I6">
        <v>12</v>
      </c>
      <c r="J6">
        <v>1</v>
      </c>
      <c r="K6">
        <v>2</v>
      </c>
      <c r="L6">
        <v>1</v>
      </c>
      <c r="M6" s="2">
        <f t="shared" si="2"/>
        <v>0.0833333333333333</v>
      </c>
      <c r="N6" s="1" t="s">
        <v>67</v>
      </c>
      <c r="O6">
        <v>12</v>
      </c>
      <c r="P6">
        <v>12</v>
      </c>
      <c r="Q6" s="2">
        <f>P6/O6</f>
        <v>1</v>
      </c>
      <c r="R6">
        <v>12</v>
      </c>
      <c r="S6" s="2">
        <f>R6/O6</f>
        <v>1</v>
      </c>
      <c r="T6" s="5">
        <v>11</v>
      </c>
      <c r="U6" s="2">
        <f>T6/O6</f>
        <v>0.916666666666667</v>
      </c>
      <c r="V6" s="2">
        <f>T6/O6</f>
        <v>0.916666666666667</v>
      </c>
    </row>
    <row r="7" ht="17.4" spans="1:15">
      <c r="A7" s="1" t="s">
        <v>68</v>
      </c>
      <c r="B7">
        <v>12</v>
      </c>
      <c r="C7">
        <v>0</v>
      </c>
      <c r="D7">
        <v>1</v>
      </c>
      <c r="E7">
        <v>11</v>
      </c>
      <c r="F7" s="2">
        <f t="shared" si="0"/>
        <v>0.916666666666667</v>
      </c>
      <c r="G7">
        <f t="shared" si="1"/>
        <v>1</v>
      </c>
      <c r="H7" s="1" t="s">
        <v>69</v>
      </c>
      <c r="I7">
        <v>12</v>
      </c>
      <c r="J7">
        <v>1</v>
      </c>
      <c r="K7">
        <v>1</v>
      </c>
      <c r="L7">
        <v>8</v>
      </c>
      <c r="M7" s="2">
        <f t="shared" si="2"/>
        <v>0.666666666666667</v>
      </c>
      <c r="O7">
        <v>12</v>
      </c>
    </row>
    <row r="8" ht="17.4" spans="1:15">
      <c r="A8" s="1" t="s">
        <v>70</v>
      </c>
      <c r="B8">
        <v>12</v>
      </c>
      <c r="C8">
        <v>2</v>
      </c>
      <c r="D8">
        <v>1</v>
      </c>
      <c r="E8">
        <v>8</v>
      </c>
      <c r="F8" s="2">
        <f t="shared" si="0"/>
        <v>0.666666666666667</v>
      </c>
      <c r="G8">
        <f t="shared" si="1"/>
        <v>4</v>
      </c>
      <c r="H8" s="1" t="s">
        <v>71</v>
      </c>
      <c r="I8">
        <v>12</v>
      </c>
      <c r="J8">
        <v>1</v>
      </c>
      <c r="K8">
        <v>3</v>
      </c>
      <c r="L8">
        <v>2</v>
      </c>
      <c r="M8" s="2">
        <f t="shared" si="2"/>
        <v>0.166666666666667</v>
      </c>
      <c r="O8">
        <v>12</v>
      </c>
    </row>
    <row r="9" ht="17.4" spans="1:15">
      <c r="A9" s="1" t="s">
        <v>72</v>
      </c>
      <c r="B9">
        <v>12</v>
      </c>
      <c r="C9">
        <v>1</v>
      </c>
      <c r="D9">
        <v>1</v>
      </c>
      <c r="E9">
        <v>5</v>
      </c>
      <c r="F9" s="2">
        <f t="shared" si="0"/>
        <v>0.416666666666667</v>
      </c>
      <c r="G9">
        <f t="shared" si="1"/>
        <v>7</v>
      </c>
      <c r="H9" s="1" t="s">
        <v>73</v>
      </c>
      <c r="I9">
        <v>12</v>
      </c>
      <c r="J9">
        <v>0</v>
      </c>
      <c r="K9">
        <v>1</v>
      </c>
      <c r="L9">
        <v>11</v>
      </c>
      <c r="M9" s="2">
        <f t="shared" si="2"/>
        <v>0.916666666666667</v>
      </c>
      <c r="O9">
        <v>12</v>
      </c>
    </row>
    <row r="10" ht="17.4" spans="1:15">
      <c r="A10" s="1" t="s">
        <v>74</v>
      </c>
      <c r="B10">
        <v>12</v>
      </c>
      <c r="C10">
        <v>2</v>
      </c>
      <c r="D10">
        <v>1</v>
      </c>
      <c r="E10">
        <v>6</v>
      </c>
      <c r="F10" s="2">
        <f t="shared" si="0"/>
        <v>0.5</v>
      </c>
      <c r="G10">
        <f t="shared" si="1"/>
        <v>6</v>
      </c>
      <c r="H10" s="1" t="s">
        <v>75</v>
      </c>
      <c r="I10">
        <v>12</v>
      </c>
      <c r="J10">
        <v>3</v>
      </c>
      <c r="K10">
        <v>1</v>
      </c>
      <c r="L10">
        <v>4</v>
      </c>
      <c r="M10" s="2">
        <f t="shared" si="2"/>
        <v>0.333333333333333</v>
      </c>
      <c r="O10">
        <v>12</v>
      </c>
    </row>
    <row r="11" ht="17.4" spans="1:15">
      <c r="A11" s="1" t="s">
        <v>76</v>
      </c>
      <c r="B11">
        <v>12</v>
      </c>
      <c r="C11">
        <v>3</v>
      </c>
      <c r="D11">
        <v>1</v>
      </c>
      <c r="E11">
        <v>3</v>
      </c>
      <c r="F11" s="2">
        <f t="shared" si="0"/>
        <v>0.25</v>
      </c>
      <c r="G11">
        <f t="shared" si="1"/>
        <v>9</v>
      </c>
      <c r="H11" s="1" t="s">
        <v>77</v>
      </c>
      <c r="I11">
        <v>12</v>
      </c>
      <c r="J11">
        <v>2</v>
      </c>
      <c r="K11">
        <v>1</v>
      </c>
      <c r="L11">
        <v>5</v>
      </c>
      <c r="M11" s="2">
        <f t="shared" si="2"/>
        <v>0.416666666666667</v>
      </c>
      <c r="O11">
        <v>12</v>
      </c>
    </row>
    <row r="12" ht="17.4" spans="1:15">
      <c r="A12" s="1" t="s">
        <v>78</v>
      </c>
      <c r="B12">
        <v>12</v>
      </c>
      <c r="C12">
        <v>0</v>
      </c>
      <c r="D12">
        <v>1</v>
      </c>
      <c r="E12">
        <v>11</v>
      </c>
      <c r="F12" s="2">
        <f t="shared" si="0"/>
        <v>0.916666666666667</v>
      </c>
      <c r="G12">
        <f t="shared" si="1"/>
        <v>1</v>
      </c>
      <c r="H12" s="1" t="s">
        <v>79</v>
      </c>
      <c r="I12">
        <v>12</v>
      </c>
      <c r="J12">
        <v>2</v>
      </c>
      <c r="K12">
        <v>3</v>
      </c>
      <c r="L12">
        <v>2</v>
      </c>
      <c r="M12" s="2">
        <f t="shared" si="2"/>
        <v>0.166666666666667</v>
      </c>
      <c r="O12">
        <v>12</v>
      </c>
    </row>
    <row r="13" ht="17.4" spans="1:15">
      <c r="A13" s="1" t="s">
        <v>80</v>
      </c>
      <c r="B13">
        <v>12</v>
      </c>
      <c r="E13">
        <v>3</v>
      </c>
      <c r="F13" s="2">
        <f t="shared" si="0"/>
        <v>0.25</v>
      </c>
      <c r="G13">
        <f t="shared" si="1"/>
        <v>9</v>
      </c>
      <c r="H13" s="1" t="s">
        <v>81</v>
      </c>
      <c r="I13">
        <v>12</v>
      </c>
      <c r="J13">
        <v>1</v>
      </c>
      <c r="K13">
        <v>4</v>
      </c>
      <c r="L13">
        <v>2</v>
      </c>
      <c r="M13" s="2">
        <f t="shared" si="2"/>
        <v>0.166666666666667</v>
      </c>
      <c r="O13">
        <v>12</v>
      </c>
    </row>
    <row r="14" ht="17.4" spans="1:15">
      <c r="A14" s="1" t="s">
        <v>82</v>
      </c>
      <c r="B14">
        <v>12</v>
      </c>
      <c r="D14">
        <v>1</v>
      </c>
      <c r="E14">
        <v>4</v>
      </c>
      <c r="F14" s="2">
        <f t="shared" si="0"/>
        <v>0.333333333333333</v>
      </c>
      <c r="G14">
        <f t="shared" si="1"/>
        <v>8</v>
      </c>
      <c r="H14" s="1" t="s">
        <v>83</v>
      </c>
      <c r="I14">
        <v>12</v>
      </c>
      <c r="J14">
        <v>3</v>
      </c>
      <c r="K14">
        <v>2</v>
      </c>
      <c r="L14">
        <v>0</v>
      </c>
      <c r="M14" s="2">
        <f t="shared" si="2"/>
        <v>0</v>
      </c>
      <c r="O14">
        <v>12</v>
      </c>
    </row>
    <row r="15" ht="17.4" spans="1:15">
      <c r="A15" s="1" t="s">
        <v>84</v>
      </c>
      <c r="B15">
        <v>12</v>
      </c>
      <c r="E15">
        <v>8</v>
      </c>
      <c r="F15" s="2">
        <f t="shared" si="0"/>
        <v>0.666666666666667</v>
      </c>
      <c r="G15">
        <f t="shared" si="1"/>
        <v>4</v>
      </c>
      <c r="H15" s="1" t="s">
        <v>85</v>
      </c>
      <c r="I15">
        <v>12</v>
      </c>
      <c r="J15">
        <v>1</v>
      </c>
      <c r="K15">
        <v>2</v>
      </c>
      <c r="L15">
        <v>3</v>
      </c>
      <c r="M15" s="2">
        <f t="shared" si="2"/>
        <v>0.25</v>
      </c>
      <c r="O15">
        <v>12</v>
      </c>
    </row>
    <row r="16" ht="17.4" spans="1:15">
      <c r="A16" s="1" t="s">
        <v>86</v>
      </c>
      <c r="B16">
        <v>12</v>
      </c>
      <c r="E16">
        <v>4</v>
      </c>
      <c r="F16" s="2">
        <f t="shared" si="0"/>
        <v>0.333333333333333</v>
      </c>
      <c r="G16">
        <f t="shared" si="1"/>
        <v>8</v>
      </c>
      <c r="H16" s="1" t="s">
        <v>87</v>
      </c>
      <c r="I16">
        <v>12</v>
      </c>
      <c r="J16">
        <v>1</v>
      </c>
      <c r="K16">
        <v>2</v>
      </c>
      <c r="L16">
        <v>6</v>
      </c>
      <c r="M16" s="2">
        <f t="shared" si="2"/>
        <v>0.5</v>
      </c>
      <c r="O16">
        <v>12</v>
      </c>
    </row>
    <row r="17" ht="17.4" spans="1:15">
      <c r="A17" s="1" t="s">
        <v>88</v>
      </c>
      <c r="B17">
        <v>12</v>
      </c>
      <c r="E17">
        <v>9</v>
      </c>
      <c r="F17" s="2">
        <f t="shared" si="0"/>
        <v>0.75</v>
      </c>
      <c r="G17">
        <f t="shared" si="1"/>
        <v>3</v>
      </c>
      <c r="H17" s="1" t="s">
        <v>89</v>
      </c>
      <c r="I17">
        <v>12</v>
      </c>
      <c r="J17">
        <v>1</v>
      </c>
      <c r="K17">
        <v>3</v>
      </c>
      <c r="L17">
        <v>4</v>
      </c>
      <c r="M17" s="2">
        <f t="shared" si="2"/>
        <v>0.333333333333333</v>
      </c>
      <c r="O17">
        <v>12</v>
      </c>
    </row>
    <row r="18" ht="17.4" spans="1:15">
      <c r="A18" s="1" t="s">
        <v>90</v>
      </c>
      <c r="B18">
        <v>12</v>
      </c>
      <c r="C18">
        <v>1</v>
      </c>
      <c r="D18">
        <v>2</v>
      </c>
      <c r="E18">
        <v>4</v>
      </c>
      <c r="F18" s="2">
        <f t="shared" si="0"/>
        <v>0.333333333333333</v>
      </c>
      <c r="G18">
        <f t="shared" si="1"/>
        <v>8</v>
      </c>
      <c r="H18" s="1" t="s">
        <v>91</v>
      </c>
      <c r="I18">
        <v>12</v>
      </c>
      <c r="J18">
        <v>1</v>
      </c>
      <c r="K18">
        <v>3</v>
      </c>
      <c r="L18">
        <v>5</v>
      </c>
      <c r="M18" s="2">
        <f t="shared" si="2"/>
        <v>0.416666666666667</v>
      </c>
      <c r="O18">
        <v>12</v>
      </c>
    </row>
    <row r="19" ht="17.4" spans="1:15">
      <c r="A19" s="1" t="s">
        <v>92</v>
      </c>
      <c r="B19">
        <v>12</v>
      </c>
      <c r="C19">
        <v>3</v>
      </c>
      <c r="E19">
        <v>3</v>
      </c>
      <c r="F19" s="2">
        <f t="shared" si="0"/>
        <v>0.25</v>
      </c>
      <c r="G19">
        <f t="shared" si="1"/>
        <v>9</v>
      </c>
      <c r="H19" s="1" t="s">
        <v>93</v>
      </c>
      <c r="I19">
        <v>12</v>
      </c>
      <c r="J19">
        <v>2</v>
      </c>
      <c r="K19">
        <v>2</v>
      </c>
      <c r="L19">
        <v>7</v>
      </c>
      <c r="M19" s="2">
        <f t="shared" si="2"/>
        <v>0.583333333333333</v>
      </c>
      <c r="O19">
        <v>12</v>
      </c>
    </row>
    <row r="20" ht="17.4" spans="1:15">
      <c r="A20" s="1" t="s">
        <v>94</v>
      </c>
      <c r="B20">
        <v>12</v>
      </c>
      <c r="C20">
        <v>2</v>
      </c>
      <c r="D20">
        <v>2</v>
      </c>
      <c r="E20">
        <v>3</v>
      </c>
      <c r="F20" s="2">
        <f t="shared" si="0"/>
        <v>0.25</v>
      </c>
      <c r="G20">
        <f t="shared" si="1"/>
        <v>9</v>
      </c>
      <c r="H20" s="1" t="s">
        <v>95</v>
      </c>
      <c r="I20">
        <v>12</v>
      </c>
      <c r="J20">
        <v>4</v>
      </c>
      <c r="K20">
        <v>1</v>
      </c>
      <c r="L20">
        <v>5</v>
      </c>
      <c r="M20" s="2">
        <f t="shared" si="2"/>
        <v>0.416666666666667</v>
      </c>
      <c r="O20">
        <v>12</v>
      </c>
    </row>
    <row r="21" ht="17.4" spans="1:15">
      <c r="A21" s="1" t="s">
        <v>96</v>
      </c>
      <c r="B21">
        <v>12</v>
      </c>
      <c r="C21">
        <v>1</v>
      </c>
      <c r="D21">
        <v>1</v>
      </c>
      <c r="E21">
        <v>3</v>
      </c>
      <c r="F21" s="2">
        <f t="shared" si="0"/>
        <v>0.25</v>
      </c>
      <c r="G21">
        <f t="shared" si="1"/>
        <v>9</v>
      </c>
      <c r="H21" s="1" t="s">
        <v>97</v>
      </c>
      <c r="I21">
        <v>12</v>
      </c>
      <c r="J21">
        <v>2</v>
      </c>
      <c r="K21">
        <v>3</v>
      </c>
      <c r="L21">
        <v>2</v>
      </c>
      <c r="M21" s="2">
        <f t="shared" si="2"/>
        <v>0.166666666666667</v>
      </c>
      <c r="O21">
        <v>12</v>
      </c>
    </row>
    <row r="22" spans="5:12">
      <c r="E22">
        <f>SUM(E2:E21)</f>
        <v>113</v>
      </c>
      <c r="L22">
        <f>SUM(L2:L21)</f>
        <v>78</v>
      </c>
    </row>
    <row r="23" ht="17.4" spans="1:1">
      <c r="A23" s="1" t="s">
        <v>10</v>
      </c>
    </row>
    <row r="28" ht="17.4" spans="1:1">
      <c r="A28" s="1" t="s">
        <v>21</v>
      </c>
    </row>
    <row r="29" ht="17.4" spans="1:1">
      <c r="A29" s="1" t="s">
        <v>22</v>
      </c>
    </row>
    <row r="30" ht="17.4" spans="1:1">
      <c r="A30" s="1" t="s">
        <v>23</v>
      </c>
    </row>
    <row r="31" ht="17.4" spans="1:1">
      <c r="A31" s="1" t="s">
        <v>24</v>
      </c>
    </row>
    <row r="32" ht="17.4" spans="1:1">
      <c r="A32" s="1" t="s">
        <v>25</v>
      </c>
    </row>
    <row r="33" ht="17.4" spans="1:1">
      <c r="A33" s="3" t="s">
        <v>26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workbookViewId="0">
      <selection activeCell="A1" sqref="A1"/>
    </sheetView>
  </sheetViews>
  <sheetFormatPr defaultColWidth="8.88888888888889" defaultRowHeight="14.4" outlineLevelCol="1"/>
  <sheetData>
    <row r="1" spans="1:2">
      <c r="A1" t="s">
        <v>98</v>
      </c>
      <c r="B1" t="s">
        <v>52</v>
      </c>
    </row>
    <row r="2" ht="17.4" spans="1:2">
      <c r="A2" s="1" t="s">
        <v>53</v>
      </c>
      <c r="B2" s="2">
        <v>0.333333333333333</v>
      </c>
    </row>
    <row r="3" ht="17.4" spans="1:2">
      <c r="A3" s="1" t="s">
        <v>56</v>
      </c>
      <c r="B3" s="2">
        <v>0.916666666666667</v>
      </c>
    </row>
    <row r="4" ht="17.4" spans="1:2">
      <c r="A4" s="1" t="s">
        <v>59</v>
      </c>
      <c r="B4" s="2">
        <v>0.25</v>
      </c>
    </row>
    <row r="5" ht="17.4" spans="1:2">
      <c r="A5" s="1" t="s">
        <v>62</v>
      </c>
      <c r="B5" s="2">
        <v>0.416666666666667</v>
      </c>
    </row>
    <row r="6" ht="17.4" spans="1:2">
      <c r="A6" s="1" t="s">
        <v>65</v>
      </c>
      <c r="B6" s="2">
        <v>0.416666666666667</v>
      </c>
    </row>
    <row r="7" ht="17.4" spans="1:2">
      <c r="A7" s="1" t="s">
        <v>68</v>
      </c>
      <c r="B7" s="2">
        <v>0.916666666666667</v>
      </c>
    </row>
    <row r="8" ht="17.4" spans="1:2">
      <c r="A8" s="1" t="s">
        <v>70</v>
      </c>
      <c r="B8" s="2">
        <v>0.666666666666667</v>
      </c>
    </row>
    <row r="9" ht="17.4" spans="1:2">
      <c r="A9" s="1" t="s">
        <v>72</v>
      </c>
      <c r="B9" s="2">
        <v>0.416666666666667</v>
      </c>
    </row>
    <row r="10" ht="17.4" spans="1:2">
      <c r="A10" s="1" t="s">
        <v>74</v>
      </c>
      <c r="B10" s="2">
        <v>0.5</v>
      </c>
    </row>
    <row r="11" ht="17.4" spans="1:2">
      <c r="A11" s="1" t="s">
        <v>76</v>
      </c>
      <c r="B11" s="2">
        <v>0.25</v>
      </c>
    </row>
    <row r="12" ht="17.4" spans="1:2">
      <c r="A12" s="1" t="s">
        <v>78</v>
      </c>
      <c r="B12" s="2">
        <v>0.916666666666667</v>
      </c>
    </row>
    <row r="13" ht="17.4" spans="1:2">
      <c r="A13" s="1" t="s">
        <v>80</v>
      </c>
      <c r="B13" s="2">
        <v>0.25</v>
      </c>
    </row>
    <row r="14" ht="17.4" spans="1:2">
      <c r="A14" s="1" t="s">
        <v>82</v>
      </c>
      <c r="B14" s="2">
        <v>0.333333333333333</v>
      </c>
    </row>
    <row r="15" ht="17.4" spans="1:2">
      <c r="A15" s="1" t="s">
        <v>84</v>
      </c>
      <c r="B15" s="2">
        <v>0.666666666666667</v>
      </c>
    </row>
    <row r="16" ht="17.4" spans="1:2">
      <c r="A16" s="1" t="s">
        <v>86</v>
      </c>
      <c r="B16" s="2">
        <v>0.333333333333333</v>
      </c>
    </row>
    <row r="17" ht="17.4" spans="1:2">
      <c r="A17" s="1" t="s">
        <v>88</v>
      </c>
      <c r="B17" s="2">
        <v>0.75</v>
      </c>
    </row>
    <row r="18" ht="17.4" spans="1:2">
      <c r="A18" s="1" t="s">
        <v>90</v>
      </c>
      <c r="B18" s="2">
        <v>0.333333333333333</v>
      </c>
    </row>
    <row r="19" ht="17.4" spans="1:2">
      <c r="A19" s="1" t="s">
        <v>92</v>
      </c>
      <c r="B19" s="2">
        <v>0.25</v>
      </c>
    </row>
    <row r="20" ht="17.4" spans="1:2">
      <c r="A20" s="1" t="s">
        <v>94</v>
      </c>
      <c r="B20" s="2">
        <v>0.25</v>
      </c>
    </row>
    <row r="21" ht="17.4" spans="1:2">
      <c r="A21" s="1" t="s">
        <v>96</v>
      </c>
      <c r="B21" s="2">
        <v>0.25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Mohan LI</cp:lastModifiedBy>
  <dcterms:created xsi:type="dcterms:W3CDTF">2023-05-12T11:15:00Z</dcterms:created>
  <dcterms:modified xsi:type="dcterms:W3CDTF">2024-04-28T02:37:05Z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F4E9AE8B1E194934AB8005AAFE685651_12</vt:lpwstr>
  </property>
</Properties>
</file>