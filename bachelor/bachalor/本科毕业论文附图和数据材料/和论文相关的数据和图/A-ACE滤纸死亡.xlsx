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060"/>
  </bookViews>
  <sheets>
    <sheet name="Sheet1" sheetId="1" r:id="rId1"/>
    <sheet name="ACE" sheetId="2" r:id="rId2"/>
    <sheet name="AS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<sst xmlns="http://schemas.openxmlformats.org/spreadsheetml/2006/main" count="105" uniqueCount="65">
  <si>
    <t>分组</t>
  </si>
  <si>
    <t>剂量</t>
  </si>
  <si>
    <t>蚯蚓数</t>
  </si>
  <si>
    <t>死亡数</t>
  </si>
  <si>
    <t>1-C-1</t>
  </si>
  <si>
    <t>1-C-2</t>
  </si>
  <si>
    <t>1-C-3</t>
  </si>
  <si>
    <t>1-C-4</t>
  </si>
  <si>
    <t>1-C-5</t>
  </si>
  <si>
    <t>2-C-1</t>
  </si>
  <si>
    <t>2-C-2</t>
  </si>
  <si>
    <t>2-C-3</t>
  </si>
  <si>
    <t>2-C-4</t>
  </si>
  <si>
    <t>2-C-5</t>
  </si>
  <si>
    <t>3-C-1</t>
  </si>
  <si>
    <t>3-C-2</t>
  </si>
  <si>
    <t>3-C-3</t>
  </si>
  <si>
    <t>3-C-4</t>
  </si>
  <si>
    <t>3-C-5</t>
  </si>
  <si>
    <t>4-C-1</t>
  </si>
  <si>
    <t>4-C-2</t>
  </si>
  <si>
    <t>4-C-3</t>
  </si>
  <si>
    <t>4-C-4</t>
  </si>
  <si>
    <t>4-C-5</t>
  </si>
  <si>
    <t>卡方值</t>
  </si>
  <si>
    <t>自由度</t>
  </si>
  <si>
    <t>P值</t>
  </si>
  <si>
    <t>0.000***</t>
  </si>
  <si>
    <t>模型的皮尔逊拟合优度检验结果显示，显著性P值0.000***，水平上存在显著性，拒绝原假设，因而模型是有效的。</t>
  </si>
  <si>
    <t>项</t>
  </si>
  <si>
    <t>系数</t>
  </si>
  <si>
    <t>标准误差</t>
  </si>
  <si>
    <t>Z值</t>
  </si>
  <si>
    <t>系数95%置信区间</t>
  </si>
  <si>
    <t>上限</t>
  </si>
  <si>
    <t>下限</t>
  </si>
  <si>
    <t>[ "常量", 5 ]</t>
  </si>
  <si>
    <t>5.0：Probit(p) = 0.04 + -0.067 * (剂量) 剂量项显著性P值为剂量，水平上不呈现显著性，不能拒绝原假设，因此剂量项系数不显著。 截距项字段5.0显著性P值为0.324，水平上不呈现显著性，不能拒绝原假设，因此该截距项系数不显著。</t>
  </si>
  <si>
    <t>概率值</t>
  </si>
  <si>
    <t>估算值</t>
  </si>
  <si>
    <t>估算值的95%置信限度</t>
  </si>
  <si>
    <t>PS：对应2.4处理组死亡20条蚯蚓</t>
  </si>
  <si>
    <t>PS：对应2.4处理组死亡27条蚯蚓</t>
  </si>
  <si>
    <t>模型的公式为：
5.0：Probit(p) = 0.17 + -0.087 * (剂量)</t>
  </si>
  <si>
    <t>0.026**</t>
  </si>
  <si>
    <t>1-P-1</t>
  </si>
  <si>
    <t>1-P-2</t>
  </si>
  <si>
    <t>1-P-3</t>
  </si>
  <si>
    <t>1-P-4</t>
  </si>
  <si>
    <t>1-P-5</t>
  </si>
  <si>
    <t>2-P-1</t>
  </si>
  <si>
    <t>2-P-2</t>
  </si>
  <si>
    <t>2-P-3</t>
  </si>
  <si>
    <t>2-P-4</t>
  </si>
  <si>
    <t>2-P-5</t>
  </si>
  <si>
    <t>3-P-1</t>
  </si>
  <si>
    <t>3-P-2</t>
  </si>
  <si>
    <t>3-P-3</t>
  </si>
  <si>
    <t>3-P-4</t>
  </si>
  <si>
    <t>3-P-5</t>
  </si>
  <si>
    <t>4-P-1</t>
  </si>
  <si>
    <t>4-P-2</t>
  </si>
  <si>
    <t>4-P-3</t>
  </si>
  <si>
    <t>4-P-4</t>
  </si>
  <si>
    <t>4-P-5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</si>
</sst>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.5"/>
      <color rgb="FF000000"/>
      <name val="Helvetica"/>
      <charset val="134"/>
    </font>
    <font>
      <sz val="10.5"/>
      <color rgb="FF6A6F77"/>
      <name val="PingFang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0" fillId="0" borderId="0" xfId="0" applyNumberFormat="1">
      <alignment vertical="center"/>
    </xf>
    <xf numFmtId="0" fontId="0" fillId="6" borderId="0" xfId="0" applyFill="1">
      <alignment vertical="center"/>
    </xf>
    <xf numFmtId="0" fontId="0" fillId="4" borderId="0" xfId="0" applyFill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5" sqref="B5"/>
    </sheetView>
  </sheetViews>
  <sheetFormatPr defaultColWidth="8.88888888888889" defaultRowHeight="14.4" outlineLevelRow="5" outlineLevelCol="4"/>
  <cols>
    <col min="1" max="1" width="17.8888888888889" customWidth="1"/>
    <col min="2" max="4" width="14.7777777777778" customWidth="1"/>
    <col min="5" max="5" width="12.8888888888889" style="14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5">
      <c r="A2">
        <v>5</v>
      </c>
      <c r="B2">
        <v>240</v>
      </c>
      <c r="C2">
        <v>60</v>
      </c>
      <c r="D2">
        <v>31</v>
      </c>
      <c r="E2">
        <v>50</v>
      </c>
    </row>
    <row r="3" spans="1:5">
      <c r="A3">
        <v>5</v>
      </c>
      <c r="B3">
        <v>24</v>
      </c>
      <c r="C3">
        <v>60</v>
      </c>
      <c r="D3" s="6">
        <v>26</v>
      </c>
      <c r="E3">
        <v>34</v>
      </c>
    </row>
    <row r="4" spans="1:5">
      <c r="A4">
        <v>5</v>
      </c>
      <c r="B4">
        <v>2.4</v>
      </c>
      <c r="C4">
        <v>60</v>
      </c>
      <c r="D4" s="6">
        <v>27</v>
      </c>
      <c r="E4">
        <v>42</v>
      </c>
    </row>
    <row r="5" spans="1:5">
      <c r="A5">
        <v>5</v>
      </c>
      <c r="B5">
        <v>0.024</v>
      </c>
      <c r="C5">
        <v>60</v>
      </c>
      <c r="D5" s="6">
        <v>42</v>
      </c>
      <c r="E5">
        <v>37</v>
      </c>
    </row>
    <row r="6" spans="1:5">
      <c r="A6">
        <v>5</v>
      </c>
      <c r="B6">
        <v>0</v>
      </c>
      <c r="C6">
        <v>60</v>
      </c>
      <c r="D6">
        <v>6</v>
      </c>
      <c r="E6" s="15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workbookViewId="0">
      <selection activeCell="E58" sqref="E58"/>
    </sheetView>
  </sheetViews>
  <sheetFormatPr defaultColWidth="8.88888888888889" defaultRowHeight="14.4"/>
  <cols>
    <col min="3" max="3" width="10" customWidth="1"/>
    <col min="6" max="6" width="12.8888888888889"/>
  </cols>
  <sheetData>
    <row r="1" customHeight="1" spans="2:5">
      <c r="B1" t="s">
        <v>0</v>
      </c>
      <c r="C1" t="s">
        <v>1</v>
      </c>
      <c r="D1" t="s">
        <v>2</v>
      </c>
      <c r="E1" t="s">
        <v>3</v>
      </c>
    </row>
    <row r="2" spans="1:6">
      <c r="A2" s="5" t="s">
        <v>4</v>
      </c>
      <c r="B2">
        <v>1</v>
      </c>
      <c r="C2">
        <v>240</v>
      </c>
      <c r="D2">
        <v>48</v>
      </c>
      <c r="E2" s="6">
        <v>8</v>
      </c>
      <c r="F2">
        <f>AVERAGE(E2,E4,E5,E6)</f>
        <v>7.75</v>
      </c>
    </row>
    <row r="3" spans="1:6">
      <c r="A3" s="5" t="s">
        <v>5</v>
      </c>
      <c r="B3">
        <v>1</v>
      </c>
      <c r="C3">
        <v>240</v>
      </c>
      <c r="D3">
        <v>12</v>
      </c>
      <c r="E3" s="6">
        <v>1</v>
      </c>
      <c r="F3">
        <f>SUM(E2,E4,E5,E6)</f>
        <v>31</v>
      </c>
    </row>
    <row r="4" spans="1:5">
      <c r="A4" s="5" t="s">
        <v>6</v>
      </c>
      <c r="B4">
        <v>1</v>
      </c>
      <c r="C4">
        <v>240</v>
      </c>
      <c r="D4">
        <v>12</v>
      </c>
      <c r="E4" s="6">
        <v>9</v>
      </c>
    </row>
    <row r="5" spans="1:5">
      <c r="A5" s="5" t="s">
        <v>7</v>
      </c>
      <c r="B5">
        <v>1</v>
      </c>
      <c r="C5">
        <v>240</v>
      </c>
      <c r="D5">
        <v>12</v>
      </c>
      <c r="E5" s="6">
        <v>7</v>
      </c>
    </row>
    <row r="6" spans="1:6">
      <c r="A6" s="5" t="s">
        <v>8</v>
      </c>
      <c r="B6">
        <v>1</v>
      </c>
      <c r="C6">
        <v>240</v>
      </c>
      <c r="D6">
        <v>12</v>
      </c>
      <c r="E6" s="6">
        <v>7</v>
      </c>
      <c r="F6">
        <f>SUM(E2,E4,E5,E6)</f>
        <v>31</v>
      </c>
    </row>
    <row r="7" spans="1:5">
      <c r="A7" s="7" t="s">
        <v>9</v>
      </c>
      <c r="B7">
        <v>2</v>
      </c>
      <c r="C7">
        <v>24</v>
      </c>
      <c r="D7">
        <v>12</v>
      </c>
      <c r="E7" s="6">
        <v>1</v>
      </c>
    </row>
    <row r="8" spans="1:5">
      <c r="A8" s="7" t="s">
        <v>10</v>
      </c>
      <c r="B8">
        <v>2</v>
      </c>
      <c r="C8">
        <v>24</v>
      </c>
      <c r="D8">
        <v>12</v>
      </c>
      <c r="E8" s="6">
        <v>4</v>
      </c>
    </row>
    <row r="9" spans="1:6">
      <c r="A9" s="7" t="s">
        <v>11</v>
      </c>
      <c r="B9">
        <v>2</v>
      </c>
      <c r="C9">
        <v>24</v>
      </c>
      <c r="D9">
        <v>12</v>
      </c>
      <c r="E9" s="6">
        <v>7</v>
      </c>
      <c r="F9">
        <f>AVERAGE(E8,E9,E10,E11)</f>
        <v>6.5</v>
      </c>
    </row>
    <row r="10" spans="1:6">
      <c r="A10" s="7" t="s">
        <v>12</v>
      </c>
      <c r="B10">
        <v>2</v>
      </c>
      <c r="C10">
        <v>24</v>
      </c>
      <c r="D10">
        <v>12</v>
      </c>
      <c r="E10" s="6">
        <v>6</v>
      </c>
      <c r="F10">
        <f>SUM(E8,E9,E10,E11)</f>
        <v>26</v>
      </c>
    </row>
    <row r="11" spans="1:5">
      <c r="A11" s="7" t="s">
        <v>13</v>
      </c>
      <c r="B11">
        <v>2</v>
      </c>
      <c r="C11">
        <v>24</v>
      </c>
      <c r="D11">
        <v>12</v>
      </c>
      <c r="E11" s="6">
        <v>9</v>
      </c>
    </row>
    <row r="12" spans="1:5">
      <c r="A12" s="8" t="s">
        <v>14</v>
      </c>
      <c r="B12">
        <v>3</v>
      </c>
      <c r="C12">
        <v>2.4</v>
      </c>
      <c r="D12">
        <v>12</v>
      </c>
      <c r="E12" s="6">
        <v>1</v>
      </c>
    </row>
    <row r="13" spans="1:5">
      <c r="A13" s="8" t="s">
        <v>15</v>
      </c>
      <c r="B13">
        <v>3</v>
      </c>
      <c r="C13">
        <v>2.4</v>
      </c>
      <c r="D13">
        <v>12</v>
      </c>
      <c r="E13" s="6">
        <v>7</v>
      </c>
    </row>
    <row r="14" spans="1:5">
      <c r="A14" s="8" t="s">
        <v>16</v>
      </c>
      <c r="B14">
        <v>3</v>
      </c>
      <c r="C14">
        <v>2.4</v>
      </c>
      <c r="D14">
        <v>12</v>
      </c>
      <c r="E14" s="6">
        <v>8</v>
      </c>
    </row>
    <row r="15" spans="1:6">
      <c r="A15" s="8" t="s">
        <v>17</v>
      </c>
      <c r="B15">
        <v>3</v>
      </c>
      <c r="C15">
        <v>2.4</v>
      </c>
      <c r="D15">
        <v>12</v>
      </c>
      <c r="E15" s="6">
        <v>4</v>
      </c>
      <c r="F15">
        <f>AVERAGE(E16,E14,E13,E16,E15)</f>
        <v>7</v>
      </c>
    </row>
    <row r="16" spans="1:6">
      <c r="A16" s="8" t="s">
        <v>18</v>
      </c>
      <c r="B16">
        <v>3</v>
      </c>
      <c r="C16">
        <v>2.4</v>
      </c>
      <c r="D16">
        <v>12</v>
      </c>
      <c r="E16" s="6">
        <v>8</v>
      </c>
      <c r="F16">
        <v>20</v>
      </c>
    </row>
    <row r="17" spans="1:5">
      <c r="A17" t="s">
        <v>19</v>
      </c>
      <c r="B17">
        <v>4</v>
      </c>
      <c r="C17">
        <v>0.024</v>
      </c>
      <c r="D17">
        <v>12</v>
      </c>
      <c r="E17" s="6">
        <v>3</v>
      </c>
    </row>
    <row r="18" spans="1:5">
      <c r="A18" t="s">
        <v>20</v>
      </c>
      <c r="B18">
        <v>4</v>
      </c>
      <c r="C18">
        <v>0.024</v>
      </c>
      <c r="D18">
        <v>12</v>
      </c>
      <c r="E18" s="6">
        <v>7</v>
      </c>
    </row>
    <row r="19" spans="1:6">
      <c r="A19" t="s">
        <v>21</v>
      </c>
      <c r="B19">
        <v>4</v>
      </c>
      <c r="C19">
        <v>0.024</v>
      </c>
      <c r="D19">
        <v>12</v>
      </c>
      <c r="E19" s="6">
        <v>5</v>
      </c>
      <c r="F19">
        <f>AVERAGE(E18:E21)</f>
        <v>5.75</v>
      </c>
    </row>
    <row r="20" spans="1:6">
      <c r="A20" t="s">
        <v>22</v>
      </c>
      <c r="B20">
        <v>4</v>
      </c>
      <c r="C20">
        <v>0.024</v>
      </c>
      <c r="D20">
        <v>12</v>
      </c>
      <c r="E20" s="6">
        <v>6</v>
      </c>
      <c r="F20">
        <v>42</v>
      </c>
    </row>
    <row r="21" spans="1:5">
      <c r="A21" t="s">
        <v>23</v>
      </c>
      <c r="B21">
        <v>4</v>
      </c>
      <c r="C21">
        <v>0.024</v>
      </c>
      <c r="D21">
        <v>12</v>
      </c>
      <c r="E21" s="6">
        <v>5</v>
      </c>
    </row>
    <row r="24" ht="15.15"/>
    <row r="25" ht="15.15" spans="1:3">
      <c r="A25" s="9" t="s">
        <v>24</v>
      </c>
      <c r="B25" s="9" t="s">
        <v>25</v>
      </c>
      <c r="C25" s="9" t="s">
        <v>26</v>
      </c>
    </row>
    <row r="26" ht="15.15" spans="1:3">
      <c r="A26" s="9">
        <v>73.735</v>
      </c>
      <c r="B26" s="9">
        <v>2</v>
      </c>
      <c r="C26" s="9" t="s">
        <v>27</v>
      </c>
    </row>
    <row r="27" spans="1:7">
      <c r="A27" s="10" t="s">
        <v>28</v>
      </c>
      <c r="B27" s="10"/>
      <c r="C27" s="10"/>
      <c r="D27" s="10"/>
      <c r="E27" s="10"/>
      <c r="F27" s="10"/>
      <c r="G27" s="10"/>
    </row>
    <row r="29" ht="15.15"/>
    <row r="30" ht="15.15" spans="1:7">
      <c r="A30" s="9" t="s">
        <v>29</v>
      </c>
      <c r="B30" s="9" t="s">
        <v>30</v>
      </c>
      <c r="C30" s="9" t="s">
        <v>31</v>
      </c>
      <c r="D30" s="9" t="s">
        <v>32</v>
      </c>
      <c r="E30" s="9" t="s">
        <v>26</v>
      </c>
      <c r="F30" s="9" t="s">
        <v>33</v>
      </c>
      <c r="G30" s="9"/>
    </row>
    <row r="31" ht="15.15" spans="1:7">
      <c r="A31" s="9"/>
      <c r="B31" s="9"/>
      <c r="C31" s="9"/>
      <c r="D31" s="9"/>
      <c r="E31" s="9"/>
      <c r="F31" s="9" t="s">
        <v>34</v>
      </c>
      <c r="G31" s="9" t="s">
        <v>35</v>
      </c>
    </row>
    <row r="32" ht="15.15" spans="1:7">
      <c r="A32" s="9" t="s">
        <v>1</v>
      </c>
      <c r="B32" s="9">
        <v>-0.067</v>
      </c>
      <c r="C32" s="9">
        <v>0.06</v>
      </c>
      <c r="D32" s="9">
        <v>-1.114</v>
      </c>
      <c r="E32" s="9">
        <v>0.867</v>
      </c>
      <c r="F32" s="9">
        <v>0.051</v>
      </c>
      <c r="G32" s="9">
        <v>-0.185</v>
      </c>
    </row>
    <row r="33" ht="28.95" spans="1:8">
      <c r="A33" s="9" t="s">
        <v>36</v>
      </c>
      <c r="B33" s="9">
        <v>0.04</v>
      </c>
      <c r="C33" s="9">
        <v>0.087</v>
      </c>
      <c r="D33" s="9">
        <v>0.457</v>
      </c>
      <c r="E33" s="9">
        <v>0.324</v>
      </c>
      <c r="F33" s="9">
        <v>0.209</v>
      </c>
      <c r="G33" s="9">
        <v>-0.13</v>
      </c>
      <c r="H33" s="11" t="s">
        <v>37</v>
      </c>
    </row>
    <row r="34" ht="15.15"/>
    <row r="35" ht="15.15" spans="1:4">
      <c r="A35" s="9" t="s">
        <v>38</v>
      </c>
      <c r="B35" s="9" t="s">
        <v>39</v>
      </c>
      <c r="C35" s="12" t="s">
        <v>40</v>
      </c>
      <c r="D35" s="12"/>
    </row>
    <row r="36" ht="15.15" spans="1:9">
      <c r="A36" s="9"/>
      <c r="B36" s="9"/>
      <c r="C36" t="s">
        <v>34</v>
      </c>
      <c r="D36" t="s">
        <v>35</v>
      </c>
      <c r="E36" s="12" t="s">
        <v>41</v>
      </c>
      <c r="F36" s="12"/>
      <c r="G36" s="12"/>
      <c r="H36" s="12"/>
      <c r="I36" s="12"/>
    </row>
    <row r="37" ht="15.15" spans="1:4">
      <c r="A37" s="9">
        <v>0.5</v>
      </c>
      <c r="B37" s="9">
        <v>0.589</v>
      </c>
      <c r="C37" s="9">
        <v>-1.781</v>
      </c>
      <c r="D37" s="9">
        <v>2.958</v>
      </c>
    </row>
    <row r="40" ht="15.15"/>
    <row r="41" ht="15.15" spans="1:9">
      <c r="A41" s="9">
        <v>0.5</v>
      </c>
      <c r="B41" s="9">
        <v>1.949</v>
      </c>
      <c r="C41" s="9">
        <v>-0.719</v>
      </c>
      <c r="D41" s="9">
        <v>4.617</v>
      </c>
      <c r="E41" s="12" t="s">
        <v>42</v>
      </c>
      <c r="F41" s="12"/>
      <c r="G41" s="12"/>
      <c r="H41" s="12"/>
      <c r="I41" s="12"/>
    </row>
    <row r="42" spans="1:9">
      <c r="A42" s="13" t="s">
        <v>43</v>
      </c>
      <c r="B42" s="12"/>
      <c r="C42" s="12"/>
      <c r="D42" s="12"/>
      <c r="E42" s="12"/>
      <c r="F42" s="12"/>
      <c r="G42" s="12"/>
      <c r="H42" s="12"/>
      <c r="I42" s="12"/>
    </row>
    <row r="43" spans="1:9">
      <c r="A43" s="12"/>
      <c r="B43" s="12"/>
      <c r="C43" s="12"/>
      <c r="D43" s="12"/>
      <c r="E43" s="12"/>
      <c r="F43" s="12"/>
      <c r="G43" s="12"/>
      <c r="H43" s="12"/>
      <c r="I43" s="12"/>
    </row>
    <row r="44" spans="1:9">
      <c r="A44" s="12"/>
      <c r="B44" s="12"/>
      <c r="C44" s="12"/>
      <c r="D44" s="12"/>
      <c r="E44" s="12"/>
      <c r="F44" s="12"/>
      <c r="G44" s="12"/>
      <c r="H44" s="12"/>
      <c r="I44" s="12"/>
    </row>
    <row r="45" spans="1:9">
      <c r="A45" s="12"/>
      <c r="B45" s="12"/>
      <c r="C45" s="12"/>
      <c r="D45" s="12"/>
      <c r="E45" s="12"/>
      <c r="F45" s="12"/>
      <c r="G45" s="12"/>
      <c r="H45" s="12"/>
      <c r="I45" s="12"/>
    </row>
    <row r="46" spans="1:9">
      <c r="A46" s="12"/>
      <c r="B46" s="12"/>
      <c r="C46" s="12"/>
      <c r="D46" s="12"/>
      <c r="E46" s="12"/>
      <c r="F46" s="12"/>
      <c r="G46" s="12"/>
      <c r="H46" s="12"/>
      <c r="I46" s="12"/>
    </row>
    <row r="47" ht="15.15"/>
    <row r="48" ht="15.15" spans="1:7">
      <c r="A48" s="9" t="s">
        <v>29</v>
      </c>
      <c r="B48" s="9" t="s">
        <v>30</v>
      </c>
      <c r="C48" s="9" t="s">
        <v>31</v>
      </c>
      <c r="D48" s="9" t="s">
        <v>32</v>
      </c>
      <c r="E48" s="9" t="s">
        <v>26</v>
      </c>
      <c r="F48" s="9" t="s">
        <v>33</v>
      </c>
      <c r="G48" s="9"/>
    </row>
    <row r="49" ht="15.15" spans="1:7">
      <c r="A49" s="9"/>
      <c r="B49" s="9"/>
      <c r="C49" s="9"/>
      <c r="D49" s="9"/>
      <c r="E49" s="9"/>
      <c r="F49" s="9" t="s">
        <v>34</v>
      </c>
      <c r="G49" s="9" t="s">
        <v>35</v>
      </c>
    </row>
    <row r="50" ht="15.15" spans="1:7">
      <c r="A50" s="9" t="s">
        <v>1</v>
      </c>
      <c r="B50" s="9">
        <v>-0.087</v>
      </c>
      <c r="C50" s="9">
        <v>0.061</v>
      </c>
      <c r="D50" s="9">
        <v>-1.44</v>
      </c>
      <c r="E50" s="9">
        <v>0.925</v>
      </c>
      <c r="F50" s="9">
        <v>0.032</v>
      </c>
      <c r="G50" s="9">
        <v>-0.206</v>
      </c>
    </row>
    <row r="51" ht="28.95" spans="1:7">
      <c r="A51" s="9" t="s">
        <v>36</v>
      </c>
      <c r="B51" s="9">
        <v>0.17</v>
      </c>
      <c r="C51" s="9">
        <v>0.087</v>
      </c>
      <c r="D51" s="9">
        <v>1.951</v>
      </c>
      <c r="E51" s="9" t="s">
        <v>44</v>
      </c>
      <c r="F51" s="9">
        <v>0.341</v>
      </c>
      <c r="G51" s="9">
        <v>-0.001</v>
      </c>
    </row>
    <row r="52" ht="15.15"/>
    <row r="53" ht="15.15" spans="1:3">
      <c r="A53" s="9" t="s">
        <v>24</v>
      </c>
      <c r="B53" s="9" t="s">
        <v>25</v>
      </c>
      <c r="C53" s="9" t="s">
        <v>26</v>
      </c>
    </row>
    <row r="54" ht="15.15" spans="1:3">
      <c r="A54" s="9">
        <v>56.435</v>
      </c>
      <c r="B54" s="9">
        <v>2</v>
      </c>
      <c r="C54" s="9" t="s">
        <v>27</v>
      </c>
    </row>
    <row r="55" spans="1:9">
      <c r="A55" s="12" t="s">
        <v>28</v>
      </c>
      <c r="B55" s="12"/>
      <c r="C55" s="12"/>
      <c r="D55" s="12"/>
      <c r="E55" s="12"/>
      <c r="F55" s="12"/>
      <c r="G55" s="12"/>
      <c r="H55" s="12"/>
      <c r="I55" s="12"/>
    </row>
  </sheetData>
  <mergeCells count="19">
    <mergeCell ref="F30:G30"/>
    <mergeCell ref="C35:D35"/>
    <mergeCell ref="E36:I36"/>
    <mergeCell ref="E41:I41"/>
    <mergeCell ref="F48:G48"/>
    <mergeCell ref="A55:I55"/>
    <mergeCell ref="A30:A31"/>
    <mergeCell ref="A35:A36"/>
    <mergeCell ref="A48:A49"/>
    <mergeCell ref="B30:B31"/>
    <mergeCell ref="B35:B36"/>
    <mergeCell ref="B48:B49"/>
    <mergeCell ref="C30:C31"/>
    <mergeCell ref="C48:C49"/>
    <mergeCell ref="D30:D31"/>
    <mergeCell ref="D48:D49"/>
    <mergeCell ref="E30:E31"/>
    <mergeCell ref="E48:E49"/>
    <mergeCell ref="A42:I4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opLeftCell="A8" workbookViewId="0">
      <selection activeCell="D39" sqref="D39"/>
    </sheetView>
  </sheetViews>
  <sheetFormatPr defaultColWidth="8.88888888888889" defaultRowHeight="14.4" outlineLevelCol="6"/>
  <sheetData>
    <row r="1" customHeight="1"/>
    <row r="2" ht="17.4" spans="1:6">
      <c r="A2" s="1" t="s">
        <v>45</v>
      </c>
      <c r="B2">
        <v>12</v>
      </c>
      <c r="C2">
        <v>11</v>
      </c>
      <c r="D2">
        <v>50</v>
      </c>
      <c r="F2">
        <v>48</v>
      </c>
    </row>
    <row r="3" ht="17.4" spans="1:6">
      <c r="A3" s="1" t="s">
        <v>46</v>
      </c>
      <c r="B3">
        <v>12</v>
      </c>
      <c r="C3">
        <v>10</v>
      </c>
      <c r="D3">
        <v>34</v>
      </c>
      <c r="F3">
        <v>30</v>
      </c>
    </row>
    <row r="4" ht="17.4" spans="1:6">
      <c r="A4" s="1" t="s">
        <v>47</v>
      </c>
      <c r="B4">
        <v>12</v>
      </c>
      <c r="C4">
        <v>6</v>
      </c>
      <c r="D4">
        <v>42</v>
      </c>
      <c r="F4">
        <v>47</v>
      </c>
    </row>
    <row r="5" ht="17.4" spans="1:6">
      <c r="A5" s="1" t="s">
        <v>48</v>
      </c>
      <c r="B5">
        <v>12</v>
      </c>
      <c r="C5">
        <v>10</v>
      </c>
      <c r="D5">
        <v>37</v>
      </c>
      <c r="F5">
        <v>37</v>
      </c>
    </row>
    <row r="6" ht="17.4" spans="1:3">
      <c r="A6" s="1" t="s">
        <v>49</v>
      </c>
      <c r="B6">
        <v>12</v>
      </c>
      <c r="C6">
        <v>11</v>
      </c>
    </row>
    <row r="7" ht="17.4" spans="1:3">
      <c r="A7" s="2" t="s">
        <v>50</v>
      </c>
      <c r="B7">
        <v>12</v>
      </c>
      <c r="C7">
        <v>4</v>
      </c>
    </row>
    <row r="8" ht="17.4" spans="1:3">
      <c r="A8" s="2" t="s">
        <v>51</v>
      </c>
      <c r="B8">
        <v>12</v>
      </c>
      <c r="C8">
        <v>10</v>
      </c>
    </row>
    <row r="9" ht="17.4" spans="1:3">
      <c r="A9" s="2" t="s">
        <v>52</v>
      </c>
      <c r="B9">
        <v>12</v>
      </c>
      <c r="C9">
        <v>1</v>
      </c>
    </row>
    <row r="10" ht="17.4" spans="1:3">
      <c r="A10" s="2" t="s">
        <v>53</v>
      </c>
      <c r="B10">
        <v>12</v>
      </c>
      <c r="C10">
        <v>8</v>
      </c>
    </row>
    <row r="11" ht="17.4" spans="1:3">
      <c r="A11" s="2" t="s">
        <v>54</v>
      </c>
      <c r="B11">
        <v>12</v>
      </c>
      <c r="C11">
        <v>7</v>
      </c>
    </row>
    <row r="12" ht="17.4" spans="1:3">
      <c r="A12" s="3" t="s">
        <v>55</v>
      </c>
      <c r="B12">
        <v>12</v>
      </c>
      <c r="C12">
        <v>9</v>
      </c>
    </row>
    <row r="13" ht="17.4" spans="1:3">
      <c r="A13" s="3" t="s">
        <v>56</v>
      </c>
      <c r="B13">
        <v>12</v>
      </c>
      <c r="C13">
        <v>6</v>
      </c>
    </row>
    <row r="14" ht="17.4" spans="1:3">
      <c r="A14" s="3" t="s">
        <v>57</v>
      </c>
      <c r="B14">
        <v>12</v>
      </c>
      <c r="C14">
        <v>12</v>
      </c>
    </row>
    <row r="15" ht="17.4" spans="1:3">
      <c r="A15" s="3" t="s">
        <v>58</v>
      </c>
      <c r="B15">
        <v>12</v>
      </c>
      <c r="C15">
        <v>9</v>
      </c>
    </row>
    <row r="16" ht="17.4" spans="1:3">
      <c r="A16" s="3" t="s">
        <v>59</v>
      </c>
      <c r="B16">
        <v>12</v>
      </c>
      <c r="C16">
        <v>6</v>
      </c>
    </row>
    <row r="17" ht="17.4" spans="1:3">
      <c r="A17" s="1" t="s">
        <v>60</v>
      </c>
      <c r="B17">
        <v>12</v>
      </c>
      <c r="C17">
        <v>8</v>
      </c>
    </row>
    <row r="18" ht="17.4" spans="1:3">
      <c r="A18" s="1" t="s">
        <v>61</v>
      </c>
      <c r="B18">
        <v>12</v>
      </c>
      <c r="C18">
        <v>7</v>
      </c>
    </row>
    <row r="19" ht="17.4" spans="1:3">
      <c r="A19" s="1" t="s">
        <v>62</v>
      </c>
      <c r="B19">
        <v>12</v>
      </c>
      <c r="C19">
        <v>5</v>
      </c>
    </row>
    <row r="20" ht="17.4" spans="1:3">
      <c r="A20" s="1" t="s">
        <v>63</v>
      </c>
      <c r="B20">
        <v>12</v>
      </c>
      <c r="C20">
        <v>7</v>
      </c>
    </row>
    <row r="21" ht="17.4" spans="1:3">
      <c r="A21" s="1" t="s">
        <v>64</v>
      </c>
      <c r="B21">
        <v>12</v>
      </c>
      <c r="C21">
        <v>10</v>
      </c>
    </row>
    <row r="23" ht="15.15"/>
    <row r="24" ht="15.15" spans="1:2">
      <c r="A24" s="4" t="s">
        <v>38</v>
      </c>
      <c r="B24" s="4" t="s">
        <v>39</v>
      </c>
    </row>
    <row r="25" ht="15.15" spans="1:2">
      <c r="A25" s="4"/>
      <c r="B25" s="4"/>
    </row>
    <row r="26" ht="15.15" spans="1:4">
      <c r="A26" s="4">
        <v>0.5</v>
      </c>
      <c r="B26" s="4">
        <v>5.234</v>
      </c>
      <c r="C26" s="4">
        <v>43.207</v>
      </c>
      <c r="D26" s="4">
        <v>-32.738</v>
      </c>
    </row>
    <row r="27" ht="15.15"/>
    <row r="28" ht="15.15" spans="1:3">
      <c r="A28" s="4" t="s">
        <v>24</v>
      </c>
      <c r="B28" s="4" t="s">
        <v>25</v>
      </c>
      <c r="C28" s="4" t="s">
        <v>26</v>
      </c>
    </row>
    <row r="29" ht="15.15" spans="1:3">
      <c r="A29" s="4">
        <v>44.896</v>
      </c>
      <c r="B29" s="4">
        <v>2</v>
      </c>
      <c r="C29" s="4" t="s">
        <v>27</v>
      </c>
    </row>
    <row r="31" ht="15.15"/>
    <row r="32" ht="15.15" spans="1:7">
      <c r="A32" s="4" t="s">
        <v>29</v>
      </c>
      <c r="B32" s="4" t="s">
        <v>30</v>
      </c>
      <c r="C32" s="4" t="s">
        <v>31</v>
      </c>
      <c r="D32" s="4" t="s">
        <v>32</v>
      </c>
      <c r="E32" s="4" t="s">
        <v>26</v>
      </c>
      <c r="F32" s="4" t="s">
        <v>33</v>
      </c>
      <c r="G32" s="4"/>
    </row>
    <row r="33" ht="15.15" spans="1:7">
      <c r="A33" s="4"/>
      <c r="B33" s="4"/>
      <c r="C33" s="4"/>
      <c r="D33" s="4"/>
      <c r="E33" s="4"/>
      <c r="F33" s="4" t="s">
        <v>34</v>
      </c>
      <c r="G33" s="4" t="s">
        <v>35</v>
      </c>
    </row>
    <row r="34" ht="15.15" spans="1:7">
      <c r="A34" s="4" t="s">
        <v>1</v>
      </c>
      <c r="B34" s="4">
        <v>0.004</v>
      </c>
      <c r="C34" s="4">
        <v>0.001</v>
      </c>
      <c r="D34" s="4">
        <v>4.693</v>
      </c>
      <c r="E34" s="4" t="s">
        <v>27</v>
      </c>
      <c r="F34" s="4">
        <v>0.006</v>
      </c>
      <c r="G34" s="4">
        <v>0.002</v>
      </c>
    </row>
    <row r="35" ht="28.95" spans="1:7">
      <c r="A35" s="4" t="s">
        <v>36</v>
      </c>
      <c r="B35" s="4">
        <v>-0.022</v>
      </c>
      <c r="C35" s="4">
        <v>0.083</v>
      </c>
      <c r="D35" s="4">
        <v>-0.264</v>
      </c>
      <c r="E35" s="4">
        <v>0.604</v>
      </c>
      <c r="F35" s="4">
        <v>0.141</v>
      </c>
      <c r="G35" s="4">
        <v>-0.185</v>
      </c>
    </row>
  </sheetData>
  <mergeCells count="8">
    <mergeCell ref="F32:G32"/>
    <mergeCell ref="A24:A25"/>
    <mergeCell ref="A32:A33"/>
    <mergeCell ref="B24:B25"/>
    <mergeCell ref="B32:B33"/>
    <mergeCell ref="C32:C33"/>
    <mergeCell ref="D32:D33"/>
    <mergeCell ref="E32:E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ACE</vt:lpstr>
      <vt:lpstr>ASP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Mohan LI</cp:lastModifiedBy>
  <dcterms:created xsi:type="dcterms:W3CDTF">2024-04-26T11:36:00Z</dcterms:created>
  <dcterms:modified xsi:type="dcterms:W3CDTF">2024-04-26T18:59:30Z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098D83DD26744128BB46B24C2383B0C9_11</vt:lpwstr>
  </property>
  <property fmtid="{D5CDD505-2E9C-101B-9397-08002B2CF9AE}" pid="3" name="KSOProductBuildVer">
    <vt:lpwstr>2052-12.1.0.16729</vt:lpwstr>
  </property>
</Properties>
</file>