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584" windowHeight="9060" firstSheet="3" activeTab="5"/>
  </bookViews>
  <sheets>
    <sheet name="ROS" sheetId="1" r:id="rId1"/>
    <sheet name="SOD" sheetId="2" r:id="rId2"/>
    <sheet name="SOD抑制百分率计算" sheetId="6" r:id="rId3"/>
    <sheet name="POD" sheetId="3" r:id="rId4"/>
    <sheet name="GST" sheetId="4" r:id="rId5"/>
    <sheet name="CAT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<sst xmlns="http://schemas.openxmlformats.org/spreadsheetml/2006/main" count="211" uniqueCount="51">
  <si>
    <t>ACE</t>
  </si>
  <si>
    <t>k</t>
  </si>
  <si>
    <t>ASP</t>
  </si>
  <si>
    <t>CK</t>
  </si>
  <si>
    <t>空白组</t>
  </si>
  <si>
    <t>1-ACE</t>
  </si>
  <si>
    <t>1-C-1</t>
  </si>
  <si>
    <t>1-P-1</t>
  </si>
  <si>
    <t>K1</t>
  </si>
  <si>
    <t>1-C-2</t>
  </si>
  <si>
    <t>1-P-2</t>
  </si>
  <si>
    <t>K2</t>
  </si>
  <si>
    <t>1-C-3</t>
  </si>
  <si>
    <t>1-P-3</t>
  </si>
  <si>
    <t>K3</t>
  </si>
  <si>
    <t>2-C-1</t>
  </si>
  <si>
    <t>2-P-1</t>
  </si>
  <si>
    <t>2-C-2</t>
  </si>
  <si>
    <t>2-P-2</t>
  </si>
  <si>
    <t>2-C-3</t>
  </si>
  <si>
    <t>2-P-3</t>
  </si>
  <si>
    <t>3-C-1</t>
  </si>
  <si>
    <t>3-P-1</t>
  </si>
  <si>
    <t>3-C-2</t>
  </si>
  <si>
    <t>3-P-2</t>
  </si>
  <si>
    <t>3-C-3</t>
  </si>
  <si>
    <t>3-P-3</t>
  </si>
  <si>
    <t>4-C-1</t>
  </si>
  <si>
    <t>4-P-1</t>
  </si>
  <si>
    <t>4-C-2</t>
  </si>
  <si>
    <t>4-P-2</t>
  </si>
  <si>
    <t>4-C-3</t>
  </si>
  <si>
    <t>4-P-3</t>
  </si>
  <si>
    <t>*</t>
  </si>
  <si>
    <t>b1</t>
  </si>
  <si>
    <t>抑制百分率</t>
  </si>
  <si>
    <t>b2</t>
  </si>
  <si>
    <t>b3</t>
  </si>
  <si>
    <t>k1</t>
  </si>
  <si>
    <t>k2</t>
  </si>
  <si>
    <t>k3</t>
  </si>
  <si>
    <t>质量</t>
  </si>
  <si>
    <t>SOD活性计算</t>
  </si>
  <si>
    <t>第一分钟</t>
  </si>
  <si>
    <t>第二分钟</t>
  </si>
  <si>
    <t>第二次点板</t>
  </si>
  <si>
    <t>第一次点板</t>
  </si>
  <si>
    <t>测试管</t>
  </si>
  <si>
    <t>对照管</t>
  </si>
  <si>
    <t>对照-测试</t>
  </si>
  <si>
    <t>活性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</si>
</sst>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_ "/>
  </numFmts>
  <fonts count="22">
    <font>
      <sz val="11"/>
      <color theme="1"/>
      <name val="宋体"/>
      <charset val="134"/>
      <scheme val="minor"/>
    </font>
    <font>
      <sz val="12"/>
      <color rgb="FF0D0D0D"/>
      <name val="Segoe UI"/>
      <charset val="134"/>
    </font>
    <font>
      <sz val="10.5"/>
      <color rgb="FF000000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0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1" borderId="4" applyNumberFormat="0" applyAlignment="0" applyProtection="0">
      <alignment vertical="center"/>
    </xf>
    <xf numFmtId="0" fontId="12" fillId="12" borderId="5" applyNumberFormat="0" applyAlignment="0" applyProtection="0">
      <alignment vertical="center"/>
    </xf>
    <xf numFmtId="0" fontId="13" fillId="12" borderId="4" applyNumberFormat="0" applyAlignment="0" applyProtection="0">
      <alignment vertical="center"/>
    </xf>
    <xf numFmtId="0" fontId="14" fillId="13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3" borderId="0" xfId="0" applyFill="1">
      <alignment vertical="center"/>
    </xf>
    <xf numFmtId="10" fontId="0" fillId="0" borderId="0" xfId="0" applyNumberFormat="1">
      <alignment vertical="center"/>
    </xf>
    <xf numFmtId="176" fontId="0" fillId="4" borderId="0" xfId="0" applyNumberFormat="1" applyFill="1">
      <alignment vertical="center"/>
    </xf>
    <xf numFmtId="177" fontId="0" fillId="5" borderId="0" xfId="0" applyNumberFormat="1" applyFill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5" borderId="0" xfId="0" applyNumberFormat="1" applyFill="1">
      <alignment vertical="center"/>
    </xf>
    <xf numFmtId="176" fontId="0" fillId="6" borderId="0" xfId="0" applyNumberFormat="1" applyFill="1">
      <alignment vertical="center"/>
    </xf>
    <xf numFmtId="0" fontId="0" fillId="0" borderId="0" xfId="0" applyAlignment="1">
      <alignment horizontal="center" vertical="center"/>
    </xf>
    <xf numFmtId="176" fontId="0" fillId="7" borderId="0" xfId="0" applyNumberFormat="1" applyFill="1">
      <alignment vertical="center"/>
    </xf>
    <xf numFmtId="10" fontId="0" fillId="8" borderId="0" xfId="0" applyNumberFormat="1" applyFill="1">
      <alignment vertical="center"/>
    </xf>
    <xf numFmtId="177" fontId="0" fillId="3" borderId="0" xfId="0" applyNumberFormat="1" applyFill="1">
      <alignment vertical="center"/>
    </xf>
    <xf numFmtId="176" fontId="0" fillId="9" borderId="0" xfId="0" applyNumberFormat="1" applyFill="1">
      <alignment vertical="center"/>
    </xf>
    <xf numFmtId="0" fontId="0" fillId="3" borderId="0" xfId="0" applyNumberFormat="1" applyFill="1">
      <alignment vertical="center"/>
    </xf>
    <xf numFmtId="177" fontId="0" fillId="0" borderId="0" xfId="0" applyNumberFormat="1" applyFill="1">
      <alignment vertical="center"/>
    </xf>
    <xf numFmtId="10" fontId="1" fillId="0" borderId="0" xfId="0" applyNumberFormat="1" applyFont="1">
      <alignment vertical="center"/>
    </xf>
    <xf numFmtId="10" fontId="0" fillId="2" borderId="0" xfId="0" applyNumberFormat="1" applyFill="1">
      <alignment vertical="center"/>
    </xf>
    <xf numFmtId="0" fontId="0" fillId="0" borderId="0" xfId="0" applyNumberForma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eetMetadata" Target="metadata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3"/>
  <sheetViews>
    <sheetView zoomScale="85" zoomScaleNormal="85" topLeftCell="I36" workbookViewId="0">
      <selection activeCell="N53" sqref="N53"/>
    </sheetView>
  </sheetViews>
  <sheetFormatPr defaultColWidth="9" defaultRowHeight="14.4"/>
  <cols>
    <col min="1" max="1" width="9.22222222222222" customWidth="1"/>
    <col min="2" max="2" width="13.2222222222222" customWidth="1"/>
    <col min="3" max="3" width="12.2222222222222" customWidth="1"/>
    <col min="4" max="13" width="13.7777777777778" customWidth="1"/>
    <col min="14" max="14" width="10.5555555555556" customWidth="1"/>
    <col min="15" max="15" width="13" customWidth="1"/>
    <col min="16" max="16" width="10" customWidth="1"/>
    <col min="17" max="17" width="14.6666666666667" customWidth="1"/>
    <col min="18" max="18" width="9.66666666666667"/>
    <col min="19" max="19" width="11.2222222222222" customWidth="1"/>
    <col min="20" max="20" width="11.8888888888889" customWidth="1"/>
    <col min="21" max="21" width="9.66666666666667"/>
    <col min="24" max="24" width="9.66666666666667"/>
    <col min="25" max="25" width="13.2222222222222" customWidth="1"/>
  </cols>
  <sheetData>
    <row r="1" spans="1: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M1" t="s">
        <v>1</v>
      </c>
      <c r="O1">
        <v>1</v>
      </c>
      <c r="Q1" t="s">
        <v>2</v>
      </c>
      <c r="T1" t="s">
        <v>3</v>
      </c>
      <c r="W1" t="s">
        <v>4</v>
      </c>
      <c r="Y1" t="s">
        <v>5</v>
      </c>
    </row>
    <row r="2" spans="1:25">
      <c r="A2" t="s">
        <v>6</v>
      </c>
      <c r="B2">
        <v>29283706</v>
      </c>
      <c r="C2">
        <v>29584848</v>
      </c>
      <c r="D2">
        <v>29768690</v>
      </c>
      <c r="E2">
        <v>29824965</v>
      </c>
      <c r="F2">
        <v>29833171</v>
      </c>
      <c r="G2">
        <v>29963668</v>
      </c>
      <c r="H2">
        <v>29808448</v>
      </c>
      <c r="I2">
        <v>29885934</v>
      </c>
      <c r="J2">
        <v>29964333</v>
      </c>
      <c r="K2">
        <v>30100164</v>
      </c>
      <c r="M2">
        <v>64676.87</v>
      </c>
      <c r="O2">
        <v>29964333</v>
      </c>
      <c r="Q2" t="s">
        <v>7</v>
      </c>
      <c r="R2">
        <v>26149636</v>
      </c>
      <c r="T2">
        <v>1</v>
      </c>
      <c r="U2">
        <v>30101936</v>
      </c>
      <c r="W2" t="s">
        <v>8</v>
      </c>
      <c r="X2">
        <v>14512114</v>
      </c>
      <c r="Y2">
        <v>29283706</v>
      </c>
    </row>
    <row r="3" spans="1:25">
      <c r="A3" t="s">
        <v>9</v>
      </c>
      <c r="B3">
        <v>27447089</v>
      </c>
      <c r="C3">
        <v>27854964</v>
      </c>
      <c r="D3">
        <v>27981064</v>
      </c>
      <c r="E3">
        <v>27876843</v>
      </c>
      <c r="F3">
        <v>27991785</v>
      </c>
      <c r="G3">
        <v>28152384</v>
      </c>
      <c r="H3">
        <v>27993698</v>
      </c>
      <c r="I3">
        <v>28108865</v>
      </c>
      <c r="J3">
        <v>28089300</v>
      </c>
      <c r="K3">
        <v>28395916</v>
      </c>
      <c r="M3">
        <v>68666.45</v>
      </c>
      <c r="O3">
        <v>28089300</v>
      </c>
      <c r="Q3" t="s">
        <v>10</v>
      </c>
      <c r="R3">
        <v>28509525</v>
      </c>
      <c r="T3">
        <v>2</v>
      </c>
      <c r="U3">
        <v>28524938</v>
      </c>
      <c r="W3" t="s">
        <v>11</v>
      </c>
      <c r="X3">
        <v>14611858</v>
      </c>
      <c r="Y3">
        <v>27447089</v>
      </c>
    </row>
    <row r="4" spans="1:25">
      <c r="A4" t="s">
        <v>12</v>
      </c>
      <c r="B4">
        <v>28200518</v>
      </c>
      <c r="C4">
        <v>28498800</v>
      </c>
      <c r="D4">
        <v>28714648</v>
      </c>
      <c r="E4">
        <v>28652090</v>
      </c>
      <c r="F4">
        <v>28793475</v>
      </c>
      <c r="G4">
        <v>28841467</v>
      </c>
      <c r="H4">
        <v>28735025</v>
      </c>
      <c r="I4">
        <v>28855834</v>
      </c>
      <c r="J4">
        <v>28909607</v>
      </c>
      <c r="K4">
        <v>29103520</v>
      </c>
      <c r="M4">
        <v>72759.96</v>
      </c>
      <c r="O4">
        <v>28909607</v>
      </c>
      <c r="Q4" t="s">
        <v>13</v>
      </c>
      <c r="R4">
        <v>28391790</v>
      </c>
      <c r="T4">
        <v>3</v>
      </c>
      <c r="U4">
        <v>30382580</v>
      </c>
      <c r="W4" t="s">
        <v>14</v>
      </c>
      <c r="X4">
        <v>14153815</v>
      </c>
      <c r="Y4">
        <v>28200518</v>
      </c>
    </row>
    <row r="5" spans="1:25">
      <c r="A5" t="s">
        <v>15</v>
      </c>
      <c r="B5">
        <v>26438975</v>
      </c>
      <c r="C5">
        <v>26745834</v>
      </c>
      <c r="D5">
        <v>26954591</v>
      </c>
      <c r="E5">
        <v>26880019</v>
      </c>
      <c r="F5">
        <v>26869927</v>
      </c>
      <c r="G5">
        <v>26989750</v>
      </c>
      <c r="H5">
        <v>27050512</v>
      </c>
      <c r="I5">
        <v>27069191</v>
      </c>
      <c r="J5">
        <v>27040028</v>
      </c>
      <c r="K5">
        <v>27284279</v>
      </c>
      <c r="M5">
        <v>65887.25</v>
      </c>
      <c r="O5">
        <v>27040028</v>
      </c>
      <c r="Q5" t="s">
        <v>16</v>
      </c>
      <c r="R5">
        <v>22587077</v>
      </c>
      <c r="Y5">
        <v>26438975</v>
      </c>
    </row>
    <row r="6" spans="1:25">
      <c r="A6" t="s">
        <v>17</v>
      </c>
      <c r="B6">
        <v>28227377</v>
      </c>
      <c r="C6">
        <v>28497896</v>
      </c>
      <c r="D6">
        <v>28705462</v>
      </c>
      <c r="E6">
        <v>28603634</v>
      </c>
      <c r="F6">
        <v>28732724</v>
      </c>
      <c r="G6">
        <v>28756184</v>
      </c>
      <c r="H6">
        <v>28762781</v>
      </c>
      <c r="I6">
        <v>28665963</v>
      </c>
      <c r="J6">
        <v>28824036</v>
      </c>
      <c r="K6">
        <v>28951429</v>
      </c>
      <c r="M6">
        <v>55168.81</v>
      </c>
      <c r="O6">
        <v>28824036</v>
      </c>
      <c r="Q6" t="s">
        <v>18</v>
      </c>
      <c r="R6">
        <v>28039244</v>
      </c>
      <c r="Y6">
        <v>28227377</v>
      </c>
    </row>
    <row r="7" spans="1:25">
      <c r="A7" t="s">
        <v>19</v>
      </c>
      <c r="B7">
        <v>27659316</v>
      </c>
      <c r="C7">
        <v>27994491</v>
      </c>
      <c r="D7">
        <v>28086167</v>
      </c>
      <c r="E7">
        <v>28084591</v>
      </c>
      <c r="F7">
        <v>28160838</v>
      </c>
      <c r="G7">
        <v>28254676</v>
      </c>
      <c r="H7">
        <v>28251541</v>
      </c>
      <c r="I7">
        <v>28270556</v>
      </c>
      <c r="J7">
        <v>28298910</v>
      </c>
      <c r="K7">
        <v>28416332</v>
      </c>
      <c r="M7">
        <v>63398.24</v>
      </c>
      <c r="O7">
        <v>28298910</v>
      </c>
      <c r="Q7" t="s">
        <v>20</v>
      </c>
      <c r="R7">
        <v>27955406</v>
      </c>
      <c r="Y7">
        <v>27659316</v>
      </c>
    </row>
    <row r="8" spans="1:25">
      <c r="A8" t="s">
        <v>21</v>
      </c>
      <c r="B8">
        <v>26648644</v>
      </c>
      <c r="C8">
        <v>26903741</v>
      </c>
      <c r="D8">
        <v>26966051</v>
      </c>
      <c r="E8">
        <v>26920726</v>
      </c>
      <c r="F8">
        <v>26989774</v>
      </c>
      <c r="G8">
        <v>26989229</v>
      </c>
      <c r="H8">
        <v>26989319</v>
      </c>
      <c r="I8">
        <v>27130412</v>
      </c>
      <c r="J8">
        <v>27018231</v>
      </c>
      <c r="K8">
        <v>27355330</v>
      </c>
      <c r="M8">
        <v>49628.14</v>
      </c>
      <c r="O8">
        <v>27018231</v>
      </c>
      <c r="Q8" t="s">
        <v>22</v>
      </c>
      <c r="R8">
        <v>28884759</v>
      </c>
      <c r="Y8">
        <v>26648644</v>
      </c>
    </row>
    <row r="9" spans="1:25">
      <c r="A9" t="s">
        <v>23</v>
      </c>
      <c r="B9">
        <v>28655058</v>
      </c>
      <c r="C9">
        <v>28973303</v>
      </c>
      <c r="D9">
        <v>28965965</v>
      </c>
      <c r="E9">
        <v>28878082</v>
      </c>
      <c r="F9">
        <v>28954062</v>
      </c>
      <c r="G9">
        <v>29002629</v>
      </c>
      <c r="H9">
        <v>29134356</v>
      </c>
      <c r="I9">
        <v>29138292</v>
      </c>
      <c r="J9">
        <v>29068645</v>
      </c>
      <c r="K9">
        <v>29506357</v>
      </c>
      <c r="M9">
        <v>60655.21</v>
      </c>
      <c r="O9">
        <v>29068645</v>
      </c>
      <c r="Q9" t="s">
        <v>24</v>
      </c>
      <c r="R9">
        <v>25728241</v>
      </c>
      <c r="Y9">
        <v>28655058</v>
      </c>
    </row>
    <row r="10" spans="1:25">
      <c r="A10" t="s">
        <v>25</v>
      </c>
      <c r="B10">
        <v>27489334</v>
      </c>
      <c r="C10">
        <v>27740302</v>
      </c>
      <c r="D10">
        <v>27789873</v>
      </c>
      <c r="E10">
        <v>27721321</v>
      </c>
      <c r="F10">
        <v>27794908</v>
      </c>
      <c r="G10">
        <v>27908708</v>
      </c>
      <c r="H10">
        <v>27935451</v>
      </c>
      <c r="I10">
        <v>27957929</v>
      </c>
      <c r="J10">
        <v>28056383</v>
      </c>
      <c r="K10">
        <v>28333857</v>
      </c>
      <c r="M10">
        <v>69149.96</v>
      </c>
      <c r="O10">
        <v>28056383</v>
      </c>
      <c r="Q10" t="s">
        <v>26</v>
      </c>
      <c r="R10">
        <v>27889256</v>
      </c>
      <c r="Y10">
        <v>27489334</v>
      </c>
    </row>
    <row r="11" spans="1:25">
      <c r="A11" t="s">
        <v>27</v>
      </c>
      <c r="B11">
        <v>31897275</v>
      </c>
      <c r="C11">
        <v>32027084</v>
      </c>
      <c r="D11">
        <v>32367761</v>
      </c>
      <c r="E11">
        <v>32096203</v>
      </c>
      <c r="F11">
        <v>32495824</v>
      </c>
      <c r="G11">
        <v>32495536</v>
      </c>
      <c r="H11">
        <v>32269141</v>
      </c>
      <c r="I11">
        <v>32415205</v>
      </c>
      <c r="J11">
        <v>32457507</v>
      </c>
      <c r="K11">
        <v>32859034</v>
      </c>
      <c r="M11">
        <v>75300.23</v>
      </c>
      <c r="O11">
        <v>32457507</v>
      </c>
      <c r="Q11" t="s">
        <v>28</v>
      </c>
      <c r="R11">
        <v>28315882</v>
      </c>
      <c r="Y11">
        <v>31897275</v>
      </c>
    </row>
    <row r="12" spans="1:25">
      <c r="A12" t="s">
        <v>29</v>
      </c>
      <c r="B12">
        <v>29458658</v>
      </c>
      <c r="C12">
        <v>29456591</v>
      </c>
      <c r="D12">
        <v>29541770</v>
      </c>
      <c r="E12">
        <v>29618440</v>
      </c>
      <c r="F12">
        <v>29626013</v>
      </c>
      <c r="G12">
        <v>29735470</v>
      </c>
      <c r="H12">
        <v>29612343</v>
      </c>
      <c r="I12">
        <v>29704797</v>
      </c>
      <c r="J12">
        <v>29769432</v>
      </c>
      <c r="K12">
        <v>30111808</v>
      </c>
      <c r="M12">
        <v>54391.14</v>
      </c>
      <c r="O12">
        <v>29769432</v>
      </c>
      <c r="Q12" t="s">
        <v>30</v>
      </c>
      <c r="R12">
        <v>28303567</v>
      </c>
      <c r="Y12">
        <v>29458658</v>
      </c>
    </row>
    <row r="13" spans="1:25">
      <c r="A13" t="s">
        <v>31</v>
      </c>
      <c r="B13">
        <v>30095869</v>
      </c>
      <c r="C13">
        <v>30044240</v>
      </c>
      <c r="D13">
        <v>30356116</v>
      </c>
      <c r="E13">
        <v>30128809</v>
      </c>
      <c r="F13">
        <v>30338151</v>
      </c>
      <c r="G13">
        <v>30331462</v>
      </c>
      <c r="H13">
        <v>30242229</v>
      </c>
      <c r="I13">
        <v>30277717</v>
      </c>
      <c r="J13">
        <v>30288345</v>
      </c>
      <c r="K13">
        <v>30652193</v>
      </c>
      <c r="M13">
        <v>40346.83</v>
      </c>
      <c r="O13">
        <v>30288345</v>
      </c>
      <c r="Q13" t="s">
        <v>32</v>
      </c>
      <c r="R13">
        <v>29121701</v>
      </c>
      <c r="Y13">
        <v>30095869</v>
      </c>
    </row>
    <row r="17" spans="1:1">
      <c r="A17" t="s">
        <v>2</v>
      </c>
    </row>
    <row r="18" spans="1:14">
      <c r="A18" t="s">
        <v>7</v>
      </c>
      <c r="B18">
        <v>25675490</v>
      </c>
      <c r="C18">
        <v>25925365</v>
      </c>
      <c r="D18">
        <v>26184102</v>
      </c>
      <c r="E18">
        <v>26035095</v>
      </c>
      <c r="F18">
        <v>26222389</v>
      </c>
      <c r="G18">
        <v>26294288</v>
      </c>
      <c r="H18">
        <v>26175797</v>
      </c>
      <c r="I18">
        <v>26042962</v>
      </c>
      <c r="J18">
        <v>26149636</v>
      </c>
      <c r="K18">
        <v>26308719</v>
      </c>
      <c r="M18">
        <v>42771.29</v>
      </c>
      <c r="N18" t="s">
        <v>33</v>
      </c>
    </row>
    <row r="19" spans="1:14">
      <c r="A19" t="s">
        <v>10</v>
      </c>
      <c r="B19">
        <v>27915245</v>
      </c>
      <c r="C19">
        <v>28216184</v>
      </c>
      <c r="D19">
        <v>28454683</v>
      </c>
      <c r="E19">
        <v>28455918</v>
      </c>
      <c r="F19">
        <v>28481887</v>
      </c>
      <c r="G19">
        <v>28575351</v>
      </c>
      <c r="H19">
        <v>28447522</v>
      </c>
      <c r="I19">
        <v>28491993</v>
      </c>
      <c r="J19">
        <v>28509525</v>
      </c>
      <c r="K19">
        <v>28591037</v>
      </c>
      <c r="M19">
        <v>50850.55</v>
      </c>
      <c r="N19">
        <v>56075.65</v>
      </c>
    </row>
    <row r="20" spans="1:13">
      <c r="A20" t="s">
        <v>13</v>
      </c>
      <c r="B20">
        <v>27706593</v>
      </c>
      <c r="C20">
        <v>28023433</v>
      </c>
      <c r="D20">
        <v>28161007</v>
      </c>
      <c r="E20">
        <v>28213143</v>
      </c>
      <c r="F20">
        <v>28250465</v>
      </c>
      <c r="G20">
        <v>28332786</v>
      </c>
      <c r="H20">
        <v>28374717</v>
      </c>
      <c r="I20">
        <v>28195735</v>
      </c>
      <c r="J20">
        <v>28391790</v>
      </c>
      <c r="K20">
        <v>28461642</v>
      </c>
      <c r="M20">
        <v>61300.75</v>
      </c>
    </row>
    <row r="21" spans="1:13">
      <c r="A21" t="s">
        <v>16</v>
      </c>
      <c r="B21">
        <v>22189024</v>
      </c>
      <c r="C21">
        <v>22370030</v>
      </c>
      <c r="D21">
        <v>22527284</v>
      </c>
      <c r="E21">
        <v>22412222</v>
      </c>
      <c r="F21">
        <v>22574652</v>
      </c>
      <c r="G21">
        <v>22612281</v>
      </c>
      <c r="H21">
        <v>22548868</v>
      </c>
      <c r="I21">
        <v>22523513</v>
      </c>
      <c r="J21">
        <v>22587077</v>
      </c>
      <c r="K21">
        <v>22697176</v>
      </c>
      <c r="M21">
        <v>39523.69</v>
      </c>
    </row>
    <row r="22" spans="1:14">
      <c r="A22" t="s">
        <v>18</v>
      </c>
      <c r="B22">
        <v>27354862</v>
      </c>
      <c r="C22">
        <v>27723538</v>
      </c>
      <c r="D22">
        <v>27785173</v>
      </c>
      <c r="E22">
        <v>27860294</v>
      </c>
      <c r="F22">
        <v>27862754</v>
      </c>
      <c r="G22">
        <v>27751869</v>
      </c>
      <c r="H22">
        <v>27867731</v>
      </c>
      <c r="I22">
        <v>27864938</v>
      </c>
      <c r="J22">
        <v>28039244</v>
      </c>
      <c r="K22">
        <v>28050500</v>
      </c>
      <c r="M22">
        <v>53217.79</v>
      </c>
      <c r="N22">
        <f>AVERAGE(M21:M23)</f>
        <v>52249.3833333333</v>
      </c>
    </row>
    <row r="23" spans="1:13">
      <c r="A23" t="s">
        <v>20</v>
      </c>
      <c r="B23">
        <v>27275163</v>
      </c>
      <c r="C23">
        <v>27626776</v>
      </c>
      <c r="D23">
        <v>27901756</v>
      </c>
      <c r="E23">
        <v>27796266</v>
      </c>
      <c r="F23">
        <v>27912317</v>
      </c>
      <c r="G23">
        <v>28029283</v>
      </c>
      <c r="H23">
        <v>27842587</v>
      </c>
      <c r="I23">
        <v>28085734</v>
      </c>
      <c r="J23">
        <v>27955406</v>
      </c>
      <c r="K23">
        <v>28062371</v>
      </c>
      <c r="M23">
        <v>64006.67</v>
      </c>
    </row>
    <row r="24" spans="1:13">
      <c r="A24" t="s">
        <v>22</v>
      </c>
      <c r="B24">
        <v>28381186</v>
      </c>
      <c r="C24" s="22">
        <v>28611463</v>
      </c>
      <c r="D24">
        <v>28566159</v>
      </c>
      <c r="E24">
        <v>28588950</v>
      </c>
      <c r="F24">
        <v>28657929</v>
      </c>
      <c r="G24">
        <v>28592003</v>
      </c>
      <c r="H24">
        <v>28630971</v>
      </c>
      <c r="I24">
        <v>28683839</v>
      </c>
      <c r="J24">
        <v>28884759</v>
      </c>
      <c r="K24">
        <v>29093005</v>
      </c>
      <c r="M24">
        <v>54351.39</v>
      </c>
    </row>
    <row r="25" spans="1:16">
      <c r="A25" t="s">
        <v>24</v>
      </c>
      <c r="B25">
        <v>25479501</v>
      </c>
      <c r="C25">
        <v>25676725</v>
      </c>
      <c r="D25">
        <v>25657611</v>
      </c>
      <c r="E25">
        <v>25572728</v>
      </c>
      <c r="F25">
        <v>25609486</v>
      </c>
      <c r="G25">
        <v>25694866</v>
      </c>
      <c r="H25">
        <v>25661585</v>
      </c>
      <c r="I25">
        <v>25079383</v>
      </c>
      <c r="J25">
        <v>25728241</v>
      </c>
      <c r="K25">
        <v>25932763</v>
      </c>
      <c r="M25">
        <v>11519.89</v>
      </c>
      <c r="N25" t="s">
        <v>33</v>
      </c>
      <c r="O25">
        <v>54351.39</v>
      </c>
      <c r="P25">
        <v>49520.47</v>
      </c>
    </row>
    <row r="26" spans="1:15">
      <c r="A26" t="s">
        <v>26</v>
      </c>
      <c r="B26">
        <v>27558845</v>
      </c>
      <c r="C26">
        <v>27698939</v>
      </c>
      <c r="D26">
        <v>27730298</v>
      </c>
      <c r="E26">
        <v>27778554</v>
      </c>
      <c r="F26">
        <v>27730310</v>
      </c>
      <c r="G26">
        <v>27867947</v>
      </c>
      <c r="H26">
        <v>27781242</v>
      </c>
      <c r="I26">
        <v>27811406</v>
      </c>
      <c r="J26">
        <v>27889256</v>
      </c>
      <c r="K26">
        <v>28168880</v>
      </c>
      <c r="M26">
        <v>44689.55</v>
      </c>
      <c r="O26">
        <v>44689.55</v>
      </c>
    </row>
    <row r="27" spans="1:14">
      <c r="A27" t="s">
        <v>28</v>
      </c>
      <c r="B27">
        <v>28004609</v>
      </c>
      <c r="C27">
        <v>27988985</v>
      </c>
      <c r="D27">
        <v>28188540</v>
      </c>
      <c r="E27">
        <v>28109591</v>
      </c>
      <c r="F27">
        <v>28156928</v>
      </c>
      <c r="G27">
        <v>28300206</v>
      </c>
      <c r="H27">
        <v>28371168</v>
      </c>
      <c r="I27">
        <v>28296154</v>
      </c>
      <c r="J27">
        <v>28315882</v>
      </c>
      <c r="K27">
        <v>28721194</v>
      </c>
      <c r="M27">
        <v>61840.14</v>
      </c>
      <c r="N27" t="s">
        <v>33</v>
      </c>
    </row>
    <row r="28" spans="1:13">
      <c r="A28" t="s">
        <v>30</v>
      </c>
      <c r="B28">
        <v>27815259</v>
      </c>
      <c r="C28">
        <v>28024466</v>
      </c>
      <c r="D28">
        <v>28149120</v>
      </c>
      <c r="E28">
        <v>28085627</v>
      </c>
      <c r="F28">
        <v>28180146</v>
      </c>
      <c r="G28">
        <v>28171503</v>
      </c>
      <c r="H28">
        <v>28202085</v>
      </c>
      <c r="I28">
        <v>28215426</v>
      </c>
      <c r="J28">
        <v>28303567</v>
      </c>
      <c r="K28">
        <v>28595301</v>
      </c>
      <c r="M28">
        <v>58462.7</v>
      </c>
    </row>
    <row r="29" spans="1:14">
      <c r="A29" t="s">
        <v>32</v>
      </c>
      <c r="B29">
        <v>28840422</v>
      </c>
      <c r="C29">
        <v>28947496</v>
      </c>
      <c r="D29">
        <v>28879173</v>
      </c>
      <c r="E29">
        <v>28951962</v>
      </c>
      <c r="F29">
        <v>28988690</v>
      </c>
      <c r="G29">
        <v>29023075</v>
      </c>
      <c r="H29">
        <v>29079848</v>
      </c>
      <c r="I29">
        <v>29026278</v>
      </c>
      <c r="J29">
        <v>29121701</v>
      </c>
      <c r="K29">
        <v>29302285</v>
      </c>
      <c r="M29">
        <v>39574.36</v>
      </c>
      <c r="N29" t="e">
        <f>AVERAGE(N27:N28)</f>
        <v>#DIV/0!</v>
      </c>
    </row>
    <row r="35" spans="1:1">
      <c r="A35" t="s">
        <v>3</v>
      </c>
    </row>
    <row r="36" spans="1:13">
      <c r="A36">
        <v>1</v>
      </c>
      <c r="C36">
        <v>29579620</v>
      </c>
      <c r="D36">
        <v>29953167</v>
      </c>
      <c r="E36">
        <v>29906943</v>
      </c>
      <c r="F36">
        <v>30171796</v>
      </c>
      <c r="G36">
        <v>30068184</v>
      </c>
      <c r="H36">
        <v>30069265</v>
      </c>
      <c r="I36">
        <v>30154669</v>
      </c>
      <c r="J36">
        <v>30063131</v>
      </c>
      <c r="K36">
        <v>30102936</v>
      </c>
      <c r="L36">
        <v>30286612</v>
      </c>
      <c r="M36" s="23">
        <v>49345.16</v>
      </c>
    </row>
    <row r="37" spans="1:13">
      <c r="A37">
        <v>2</v>
      </c>
      <c r="C37">
        <v>28162142</v>
      </c>
      <c r="D37">
        <v>28307804</v>
      </c>
      <c r="E37">
        <v>28422538</v>
      </c>
      <c r="F37">
        <v>28508786</v>
      </c>
      <c r="G37">
        <v>28648100</v>
      </c>
      <c r="H37">
        <v>28494977</v>
      </c>
      <c r="I37">
        <v>28573994</v>
      </c>
      <c r="J37">
        <v>28547541</v>
      </c>
      <c r="K37">
        <v>28524938</v>
      </c>
      <c r="L37">
        <v>28695448</v>
      </c>
      <c r="M37" s="23">
        <v>43437.62</v>
      </c>
    </row>
    <row r="38" spans="1:14">
      <c r="A38">
        <v>3</v>
      </c>
      <c r="C38">
        <v>29669436</v>
      </c>
      <c r="D38">
        <v>29847786</v>
      </c>
      <c r="E38">
        <v>30113925</v>
      </c>
      <c r="F38">
        <v>29966971</v>
      </c>
      <c r="G38">
        <v>30156709</v>
      </c>
      <c r="H38">
        <v>30167328</v>
      </c>
      <c r="I38">
        <v>30121001</v>
      </c>
      <c r="J38">
        <v>30283116</v>
      </c>
      <c r="K38">
        <v>30382580</v>
      </c>
      <c r="L38">
        <v>30463723</v>
      </c>
      <c r="M38" s="23">
        <v>74004.87</v>
      </c>
      <c r="N38" t="s">
        <v>33</v>
      </c>
    </row>
    <row r="39" spans="2:2">
      <c r="B39">
        <v>30101936</v>
      </c>
    </row>
    <row r="40" spans="2:2">
      <c r="B40">
        <v>28524938</v>
      </c>
    </row>
    <row r="41" spans="2:2">
      <c r="B41">
        <v>30382580</v>
      </c>
    </row>
    <row r="42" spans="1:1">
      <c r="A42" t="s">
        <v>4</v>
      </c>
    </row>
    <row r="43" spans="1:13">
      <c r="A43" t="s">
        <v>8</v>
      </c>
      <c r="C43">
        <v>13529742</v>
      </c>
      <c r="D43">
        <v>13735007</v>
      </c>
      <c r="E43">
        <v>13862655</v>
      </c>
      <c r="F43">
        <v>13910969</v>
      </c>
      <c r="G43">
        <v>13998634</v>
      </c>
      <c r="H43">
        <v>14137877</v>
      </c>
      <c r="I43">
        <v>14253349</v>
      </c>
      <c r="J43">
        <v>14379517</v>
      </c>
      <c r="K43">
        <v>14512114</v>
      </c>
      <c r="L43">
        <v>14585718</v>
      </c>
      <c r="M43" s="23">
        <v>113298.34</v>
      </c>
    </row>
    <row r="44" spans="1:13">
      <c r="A44" t="s">
        <v>11</v>
      </c>
      <c r="B44">
        <v>14512114</v>
      </c>
      <c r="C44">
        <v>13651715</v>
      </c>
      <c r="D44">
        <v>13824497</v>
      </c>
      <c r="E44">
        <v>13986987</v>
      </c>
      <c r="F44">
        <v>14022843</v>
      </c>
      <c r="G44">
        <v>14177834</v>
      </c>
      <c r="H44">
        <v>14293516</v>
      </c>
      <c r="I44">
        <v>14389620</v>
      </c>
      <c r="J44">
        <v>14502005</v>
      </c>
      <c r="K44">
        <v>14611858</v>
      </c>
      <c r="L44">
        <v>14778546</v>
      </c>
      <c r="M44" s="23">
        <v>117843.09</v>
      </c>
    </row>
    <row r="45" spans="1:13">
      <c r="A45" t="s">
        <v>14</v>
      </c>
      <c r="B45">
        <v>14611858</v>
      </c>
      <c r="C45">
        <v>13191218</v>
      </c>
      <c r="D45">
        <v>13408733</v>
      </c>
      <c r="E45">
        <v>13512038</v>
      </c>
      <c r="F45">
        <v>13566620</v>
      </c>
      <c r="G45">
        <v>13693050</v>
      </c>
      <c r="H45">
        <v>13705775</v>
      </c>
      <c r="I45">
        <v>13896576</v>
      </c>
      <c r="J45">
        <v>13985289</v>
      </c>
      <c r="K45">
        <v>14153815</v>
      </c>
      <c r="L45">
        <v>14247815</v>
      </c>
      <c r="M45" s="23">
        <v>109659.36</v>
      </c>
    </row>
    <row r="46" spans="2:2">
      <c r="B46">
        <v>14153815</v>
      </c>
    </row>
    <row r="52" spans="2:2">
      <c r="B52">
        <v>26149636</v>
      </c>
    </row>
    <row r="53" spans="2:2">
      <c r="B53">
        <v>28509525</v>
      </c>
    </row>
    <row r="54" spans="2:2">
      <c r="B54">
        <v>28391790</v>
      </c>
    </row>
    <row r="55" spans="2:2">
      <c r="B55">
        <v>22587077</v>
      </c>
    </row>
    <row r="56" spans="2:2">
      <c r="B56">
        <v>28039244</v>
      </c>
    </row>
    <row r="57" spans="2:2">
      <c r="B57">
        <v>27955406</v>
      </c>
    </row>
    <row r="58" spans="2:2">
      <c r="B58">
        <v>28884759</v>
      </c>
    </row>
    <row r="59" spans="2:2">
      <c r="B59">
        <v>25728241</v>
      </c>
    </row>
    <row r="60" spans="2:2">
      <c r="B60">
        <v>27889256</v>
      </c>
    </row>
    <row r="61" spans="2:2">
      <c r="B61">
        <v>28315882</v>
      </c>
    </row>
    <row r="62" spans="2:2">
      <c r="B62">
        <v>28303567</v>
      </c>
    </row>
    <row r="63" spans="2:2">
      <c r="B63">
        <v>29121701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52"/>
  <sheetViews>
    <sheetView zoomScale="70" zoomScaleNormal="70" workbookViewId="0">
      <selection activeCell="A18" sqref="A18:A29"/>
    </sheetView>
  </sheetViews>
  <sheetFormatPr defaultColWidth="9" defaultRowHeight="14.4"/>
  <cols>
    <col min="1" max="1" width="9.22222222222222" customWidth="1"/>
    <col min="2" max="2" width="15.3333333333333" customWidth="1"/>
    <col min="7" max="7" width="12.1111111111111" style="7" customWidth="1"/>
    <col min="8" max="9" width="11.8888888888889" customWidth="1"/>
    <col min="10" max="10" width="12.8888888888889"/>
    <col min="11" max="17" width="12.8888888888889" customWidth="1"/>
    <col min="18" max="18" width="9" customWidth="1"/>
    <col min="19" max="19" width="12.8888888888889" customWidth="1"/>
    <col min="20" max="20" width="8" customWidth="1"/>
    <col min="21" max="21" width="8.88888888888889" customWidth="1"/>
    <col min="22" max="22" width="9.44444444444444" customWidth="1"/>
    <col min="23" max="23" width="10" customWidth="1"/>
    <col min="26" max="29" width="12.8888888888889"/>
  </cols>
  <sheetData>
    <row r="1" spans="1:1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 s="7" t="s">
        <v>34</v>
      </c>
      <c r="H1" s="4" t="s">
        <v>35</v>
      </c>
      <c r="I1" s="4"/>
      <c r="J1" t="s">
        <v>36</v>
      </c>
      <c r="K1" t="s">
        <v>37</v>
      </c>
      <c r="L1">
        <v>10</v>
      </c>
      <c r="M1">
        <v>11</v>
      </c>
    </row>
    <row r="2" spans="1:34">
      <c r="A2" t="s">
        <v>6</v>
      </c>
      <c r="B2">
        <v>0.353</v>
      </c>
      <c r="C2">
        <v>0.378</v>
      </c>
      <c r="D2">
        <v>0.377</v>
      </c>
      <c r="E2">
        <v>0.373</v>
      </c>
      <c r="F2">
        <v>0.371</v>
      </c>
      <c r="G2" s="7">
        <v>0.656</v>
      </c>
      <c r="H2" s="7">
        <v>0.670642201834862</v>
      </c>
      <c r="I2" s="7"/>
      <c r="J2" s="7">
        <v>0.653667595171773</v>
      </c>
      <c r="K2" s="7">
        <v>0.648775894538606</v>
      </c>
      <c r="L2" s="4" t="s">
        <v>38</v>
      </c>
      <c r="M2" s="7" cm="1">
        <f t="array" ref="M2:Q2">(B43:F43-B2:F2)/B43:F43</f>
        <v>0.679963735267452</v>
      </c>
      <c r="N2" s="7">
        <v>0.655737704918033</v>
      </c>
      <c r="O2" s="7">
        <v>0.655077767612077</v>
      </c>
      <c r="P2" s="7">
        <v>0.627744510978044</v>
      </c>
      <c r="Q2" s="7">
        <v>0.659633027522936</v>
      </c>
      <c r="R2" s="21" t="s">
        <v>39</v>
      </c>
      <c r="S2" s="7" cm="1">
        <f t="array" ref="S2:W2">(B44:F44-B2:F2)/B44:F44</f>
        <v>0.674654377880184</v>
      </c>
      <c r="T2" s="7">
        <v>0.650646950092421</v>
      </c>
      <c r="U2" s="7">
        <v>0.650602409638554</v>
      </c>
      <c r="V2" s="7">
        <v>0.653667595171773</v>
      </c>
      <c r="W2" s="7">
        <v>0.655204460966543</v>
      </c>
      <c r="X2" s="21" t="s">
        <v>40</v>
      </c>
      <c r="Y2" s="7" cm="1">
        <f t="array" ref="Y2:AC2">(B45:F45-B2:F2)/B45:F45</f>
        <v>0.669165885660731</v>
      </c>
      <c r="Z2" s="7">
        <v>0.644402634054563</v>
      </c>
      <c r="AA2" s="7">
        <v>0.645009416195857</v>
      </c>
      <c r="AB2" s="7">
        <v>0.648775894538606</v>
      </c>
      <c r="AC2" s="7">
        <v>0.650659133709981</v>
      </c>
      <c r="AD2" s="7"/>
      <c r="AE2" s="7"/>
      <c r="AF2" s="7"/>
      <c r="AG2" s="7"/>
      <c r="AH2" s="7"/>
    </row>
    <row r="3" spans="1:34">
      <c r="A3" t="s">
        <v>9</v>
      </c>
      <c r="B3">
        <v>0.356</v>
      </c>
      <c r="C3">
        <v>0.365</v>
      </c>
      <c r="D3">
        <v>0.362</v>
      </c>
      <c r="E3">
        <v>0.36</v>
      </c>
      <c r="F3">
        <v>0.359</v>
      </c>
      <c r="H3" s="7">
        <v>0.668</v>
      </c>
      <c r="I3" s="7"/>
      <c r="J3" s="7">
        <v>0.665738161559889</v>
      </c>
      <c r="K3" s="7">
        <v>0.66195856873823</v>
      </c>
      <c r="L3" s="7">
        <f>AVERAGE(M3:Q3)</f>
        <v>0.664996704475097</v>
      </c>
      <c r="M3" s="7" cm="1">
        <f t="array" ref="M3:Q3">(B43:F43-B3:F3)/B43:F43</f>
        <v>0.677243880326383</v>
      </c>
      <c r="N3" s="7">
        <v>0.667577413479053</v>
      </c>
      <c r="O3" s="7">
        <v>0.668801463860933</v>
      </c>
      <c r="P3" s="7">
        <v>0.640718562874252</v>
      </c>
      <c r="Q3" s="7">
        <v>0.670642201834862</v>
      </c>
      <c r="R3" s="7"/>
      <c r="S3" s="7" cm="1">
        <f t="array" ref="S3:W3">(B44:F44-B3:F3)/B44:F44</f>
        <v>0.671889400921659</v>
      </c>
      <c r="T3" s="7">
        <v>0.662661737523105</v>
      </c>
      <c r="U3" s="7">
        <v>0.664504170528267</v>
      </c>
      <c r="V3" s="7">
        <v>0.665738161559889</v>
      </c>
      <c r="W3" s="7">
        <v>0.66635687732342</v>
      </c>
      <c r="X3" s="7"/>
      <c r="Y3" s="7" cm="1">
        <f t="array" ref="Y3:AC3">(B45:F45-B3:F3)/B45:F45</f>
        <v>0.666354264292409</v>
      </c>
      <c r="Z3" s="7">
        <v>0.656632173095014</v>
      </c>
      <c r="AA3" s="7">
        <v>0.659133709981168</v>
      </c>
      <c r="AB3" s="7">
        <v>0.661016949152542</v>
      </c>
      <c r="AC3" s="7">
        <v>0.66195856873823</v>
      </c>
      <c r="AD3" s="7"/>
      <c r="AE3" s="7"/>
      <c r="AF3" s="7"/>
      <c r="AG3" s="7"/>
      <c r="AH3" s="7"/>
    </row>
    <row r="4" spans="1:34">
      <c r="A4" t="s">
        <v>12</v>
      </c>
      <c r="B4">
        <v>0.343</v>
      </c>
      <c r="C4">
        <v>0.345</v>
      </c>
      <c r="D4">
        <v>0.345</v>
      </c>
      <c r="E4">
        <v>0.347</v>
      </c>
      <c r="F4">
        <v>0.347</v>
      </c>
      <c r="H4" s="7">
        <v>0.685</v>
      </c>
      <c r="I4" s="7"/>
      <c r="J4" s="7">
        <v>0.680259499536608</v>
      </c>
      <c r="K4" s="7">
        <v>0.673258003766478</v>
      </c>
      <c r="L4" s="7">
        <f t="shared" ref="L4:L13" si="0">AVERAGE(M4:Q4)</f>
        <v>0.678904249064936</v>
      </c>
      <c r="M4" s="7" cm="1">
        <f t="array" ref="M4:Q4">(B43:F43-B4:F4)/B43:F43</f>
        <v>0.689029918404352</v>
      </c>
      <c r="N4" s="7">
        <v>0.685792349726776</v>
      </c>
      <c r="O4" s="7">
        <v>0.684354986276304</v>
      </c>
      <c r="P4" s="7">
        <v>0.653692614770459</v>
      </c>
      <c r="Q4" s="7">
        <v>0.681651376146789</v>
      </c>
      <c r="R4" s="7"/>
      <c r="S4" s="7" cm="1">
        <f t="array" ref="S4:W4">(B44:F44-B4:F4)/B44:F44</f>
        <v>0.683870967741935</v>
      </c>
      <c r="T4" s="7">
        <v>0.681146025878004</v>
      </c>
      <c r="U4" s="7">
        <v>0.680259499536608</v>
      </c>
      <c r="V4" s="7">
        <v>0.677808727948004</v>
      </c>
      <c r="W4" s="7">
        <v>0.677509293680297</v>
      </c>
      <c r="X4" s="7"/>
      <c r="Y4" s="7" cm="1">
        <f t="array" ref="Y4:AC4">(B45:F45-B4:F4)/B45:F45</f>
        <v>0.678537956888472</v>
      </c>
      <c r="Z4" s="7">
        <v>0.675446848541863</v>
      </c>
      <c r="AA4" s="7">
        <v>0.675141242937853</v>
      </c>
      <c r="AB4" s="7">
        <v>0.673258003766478</v>
      </c>
      <c r="AC4" s="7">
        <v>0.673258003766478</v>
      </c>
      <c r="AD4" s="7"/>
      <c r="AE4" s="7"/>
      <c r="AF4" s="7"/>
      <c r="AG4" s="7"/>
      <c r="AH4" s="7"/>
    </row>
    <row r="5" spans="1:34">
      <c r="A5" t="s">
        <v>15</v>
      </c>
      <c r="B5">
        <v>0.41</v>
      </c>
      <c r="C5">
        <v>0.418</v>
      </c>
      <c r="D5">
        <v>0.415</v>
      </c>
      <c r="E5">
        <v>0.413</v>
      </c>
      <c r="F5">
        <v>0.412</v>
      </c>
      <c r="H5" s="7">
        <v>0.619</v>
      </c>
      <c r="I5" s="7"/>
      <c r="J5" s="7">
        <v>0.61652739090065</v>
      </c>
      <c r="K5" s="7">
        <v>0.612052730696799</v>
      </c>
      <c r="L5" s="7">
        <f t="shared" si="0"/>
        <v>0.615549618835856</v>
      </c>
      <c r="M5" s="7" cm="1">
        <f t="array" ref="M5:Q5">(B43:F43-B5:F5)/B43:F43</f>
        <v>0.628286491387126</v>
      </c>
      <c r="N5" s="7">
        <v>0.619307832422587</v>
      </c>
      <c r="O5" s="7">
        <v>0.620311070448307</v>
      </c>
      <c r="P5" s="7">
        <v>0.587824351297405</v>
      </c>
      <c r="Q5" s="7">
        <v>0.622018348623853</v>
      </c>
      <c r="R5" s="7"/>
      <c r="S5" s="7" cm="1">
        <f t="array" ref="S5:W5">(B44:F44-B5:F5)/B44:F44</f>
        <v>0.622119815668203</v>
      </c>
      <c r="T5" s="7">
        <v>0.613678373382625</v>
      </c>
      <c r="U5" s="7">
        <v>0.615384615384615</v>
      </c>
      <c r="V5" s="7">
        <v>0.61652739090065</v>
      </c>
      <c r="W5" s="7">
        <v>0.617100371747212</v>
      </c>
      <c r="X5" s="7"/>
      <c r="Y5" s="7" cm="1">
        <f t="array" ref="Y5:AC5">(B45:F45-B5:F5)/B45:F45</f>
        <v>0.615745079662605</v>
      </c>
      <c r="Z5" s="7">
        <v>0.606773283160866</v>
      </c>
      <c r="AA5" s="7">
        <v>0.609227871939736</v>
      </c>
      <c r="AB5" s="7">
        <v>0.611111111111111</v>
      </c>
      <c r="AC5" s="7">
        <v>0.612052730696799</v>
      </c>
      <c r="AD5" s="7"/>
      <c r="AE5" s="7"/>
      <c r="AF5" s="7"/>
      <c r="AG5" s="7"/>
      <c r="AH5" s="7"/>
    </row>
    <row r="6" spans="1:34">
      <c r="A6" t="s">
        <v>17</v>
      </c>
      <c r="B6">
        <v>0.352</v>
      </c>
      <c r="C6">
        <v>0.347</v>
      </c>
      <c r="D6">
        <v>0.345</v>
      </c>
      <c r="E6">
        <v>0.344</v>
      </c>
      <c r="F6">
        <v>0.344</v>
      </c>
      <c r="G6" s="7">
        <v>0.684</v>
      </c>
      <c r="H6" s="7">
        <v>0.684354986276304</v>
      </c>
      <c r="I6" s="7"/>
      <c r="J6" s="7">
        <v>0.6803</v>
      </c>
      <c r="K6" s="7">
        <v>0.676082862523541</v>
      </c>
      <c r="L6" s="7">
        <f t="shared" si="0"/>
        <v>0.678057298486145</v>
      </c>
      <c r="M6" s="7" cm="1">
        <f t="array" ref="M6:Q6">(B43:F43-B6:F6)/B43:F43</f>
        <v>0.680870353581142</v>
      </c>
      <c r="N6" s="7">
        <v>0.683970856102004</v>
      </c>
      <c r="O6" s="7">
        <v>0.684354986276304</v>
      </c>
      <c r="P6" s="7">
        <v>0.656686626746507</v>
      </c>
      <c r="Q6" s="7">
        <v>0.684403669724771</v>
      </c>
      <c r="R6" s="7"/>
      <c r="S6" s="7" cm="1">
        <f t="array" ref="S6:W6">(B44:F44-B6:F6)/B44:F44</f>
        <v>0.675576036866359</v>
      </c>
      <c r="T6" s="7">
        <v>0.679297597042514</v>
      </c>
      <c r="U6" s="7">
        <v>0.680259499536608</v>
      </c>
      <c r="V6" s="7">
        <v>0.680594243268338</v>
      </c>
      <c r="W6" s="7">
        <v>0.680297397769517</v>
      </c>
      <c r="X6" s="7"/>
      <c r="Y6" s="7" cm="1">
        <f t="array" ref="Y6:AC6">(B45:F45-B6:F6)/B45:F45</f>
        <v>0.670103092783505</v>
      </c>
      <c r="Z6" s="7">
        <v>0.673565380997178</v>
      </c>
      <c r="AA6" s="7">
        <v>0.675141242937853</v>
      </c>
      <c r="AB6" s="7">
        <v>0.676082862523541</v>
      </c>
      <c r="AC6" s="7">
        <v>0.676082862523541</v>
      </c>
      <c r="AD6" s="7"/>
      <c r="AE6" s="7"/>
      <c r="AF6" s="7"/>
      <c r="AG6" s="7"/>
      <c r="AH6" s="7"/>
    </row>
    <row r="7" spans="1:34">
      <c r="A7" t="s">
        <v>19</v>
      </c>
      <c r="B7">
        <v>0.342</v>
      </c>
      <c r="C7">
        <v>0.34</v>
      </c>
      <c r="D7">
        <v>0.338</v>
      </c>
      <c r="E7">
        <v>0.337</v>
      </c>
      <c r="F7">
        <v>0.338</v>
      </c>
      <c r="G7" s="7">
        <v>0.69</v>
      </c>
      <c r="H7" s="7">
        <f>AVERAGE(J7:N7)</f>
        <v>0.686737354096732</v>
      </c>
      <c r="I7" s="7"/>
      <c r="J7" s="7">
        <v>0.686746987951807</v>
      </c>
      <c r="K7" s="7">
        <v>0.681732580037665</v>
      </c>
      <c r="L7" s="7">
        <f t="shared" si="0"/>
        <v>0.684924581987441</v>
      </c>
      <c r="M7" s="7" cm="1">
        <f t="array" ref="M7:Q7">(B43:F43-B7:F7)/B43:F43</f>
        <v>0.689936536718042</v>
      </c>
      <c r="N7" s="7">
        <v>0.690346083788707</v>
      </c>
      <c r="O7" s="7">
        <v>0.690759377859103</v>
      </c>
      <c r="P7" s="7">
        <v>0.663672654690619</v>
      </c>
      <c r="Q7" s="7">
        <v>0.689908256880734</v>
      </c>
      <c r="R7" s="7"/>
      <c r="S7" s="7" cm="1">
        <f t="array" ref="S7:W7">(B44:F44-B7:F7)/B44:F44</f>
        <v>0.68479262672811</v>
      </c>
      <c r="T7" s="7">
        <v>0.685767097966728</v>
      </c>
      <c r="U7" s="7">
        <v>0.686746987951807</v>
      </c>
      <c r="V7" s="7">
        <v>0.687093779015785</v>
      </c>
      <c r="W7" s="7">
        <v>0.685873605947955</v>
      </c>
      <c r="X7" s="7"/>
      <c r="Y7" s="7" cm="1">
        <f t="array" ref="Y7:AC7">(B45:F45-B7:F7)/B45:F45</f>
        <v>0.679475164011246</v>
      </c>
      <c r="Z7" s="7">
        <v>0.680150517403575</v>
      </c>
      <c r="AA7" s="7">
        <v>0.681732580037665</v>
      </c>
      <c r="AB7" s="7">
        <v>0.682674199623352</v>
      </c>
      <c r="AC7" s="7">
        <v>0.681732580037665</v>
      </c>
      <c r="AD7" s="7"/>
      <c r="AE7" s="7"/>
      <c r="AF7" s="7"/>
      <c r="AG7" s="7"/>
      <c r="AH7" s="7"/>
    </row>
    <row r="8" spans="1:34">
      <c r="A8" t="s">
        <v>21</v>
      </c>
      <c r="B8">
        <v>0.415</v>
      </c>
      <c r="C8">
        <v>0.423</v>
      </c>
      <c r="D8">
        <v>0.421</v>
      </c>
      <c r="E8">
        <v>0.421</v>
      </c>
      <c r="F8">
        <v>0.419</v>
      </c>
      <c r="G8" s="7">
        <v>0.617</v>
      </c>
      <c r="H8" s="7">
        <v>0.614754098360656</v>
      </c>
      <c r="I8" s="7"/>
      <c r="J8" s="7">
        <v>0.609099350046425</v>
      </c>
      <c r="K8" s="7">
        <v>0.603578154425612</v>
      </c>
      <c r="L8" s="7">
        <f t="shared" si="0"/>
        <v>0.609753147952921</v>
      </c>
      <c r="M8" s="7" cm="1">
        <f t="array" ref="M8:Q8">(B43:F43-B8:F8)/B43:F43</f>
        <v>0.623753399818676</v>
      </c>
      <c r="N8" s="7">
        <v>0.614754098360656</v>
      </c>
      <c r="O8" s="7">
        <v>0.614821591948765</v>
      </c>
      <c r="P8" s="7">
        <v>0.579840319361277</v>
      </c>
      <c r="Q8" s="7">
        <v>0.615596330275229</v>
      </c>
      <c r="R8" s="7"/>
      <c r="S8" s="7" cm="1">
        <f t="array" ref="S8:W8">(B44:F44-B8:F8)/B44:F44</f>
        <v>0.617511520737327</v>
      </c>
      <c r="T8" s="7">
        <v>0.6090573012939</v>
      </c>
      <c r="U8" s="7">
        <v>0.60982391102873</v>
      </c>
      <c r="V8" s="7">
        <v>0.609099350046425</v>
      </c>
      <c r="W8" s="7">
        <v>0.610594795539033</v>
      </c>
      <c r="X8" s="7"/>
      <c r="Y8" s="7" cm="1">
        <f t="array" ref="Y8:AC8">(B45:F45-B8:F8)/B45:F45</f>
        <v>0.611059044048735</v>
      </c>
      <c r="Z8" s="7">
        <v>0.602069614299153</v>
      </c>
      <c r="AA8" s="7">
        <v>0.603578154425612</v>
      </c>
      <c r="AB8" s="7">
        <v>0.603578154425612</v>
      </c>
      <c r="AC8" s="7">
        <v>0.605461393596987</v>
      </c>
      <c r="AD8" s="7"/>
      <c r="AE8" s="7"/>
      <c r="AF8" s="7"/>
      <c r="AG8" s="7"/>
      <c r="AH8" s="7"/>
    </row>
    <row r="9" spans="1:34">
      <c r="A9" t="s">
        <v>23</v>
      </c>
      <c r="B9">
        <v>0.544</v>
      </c>
      <c r="C9">
        <v>0.541</v>
      </c>
      <c r="D9">
        <v>0.537</v>
      </c>
      <c r="E9">
        <v>0.534</v>
      </c>
      <c r="F9">
        <v>0.532</v>
      </c>
      <c r="G9" s="7">
        <v>0.606</v>
      </c>
      <c r="H9" s="15">
        <v>0.511926605504587</v>
      </c>
      <c r="I9" s="15"/>
      <c r="J9" s="15">
        <v>0.502316960148285</v>
      </c>
      <c r="K9" s="7">
        <v>0.6032</v>
      </c>
      <c r="L9" s="7">
        <f t="shared" si="0"/>
        <v>0.500353951982153</v>
      </c>
      <c r="M9" s="7" cm="1">
        <f t="array" ref="M9:Q9">(B43:F43-B9:F9)/B43:F43</f>
        <v>0.506799637352675</v>
      </c>
      <c r="N9" s="7">
        <v>0.507285974499089</v>
      </c>
      <c r="O9" s="7">
        <v>0.508691674290942</v>
      </c>
      <c r="P9" s="7">
        <v>0.467065868263473</v>
      </c>
      <c r="Q9" s="7">
        <v>0.511926605504587</v>
      </c>
      <c r="R9" s="7" t="s">
        <v>33</v>
      </c>
      <c r="S9" s="7" cm="1">
        <f t="array" ref="S9:W9">(B44:F44-B9:F9)/B44:F44</f>
        <v>0.498617511520737</v>
      </c>
      <c r="T9" s="7">
        <v>0.5</v>
      </c>
      <c r="U9" s="7">
        <v>0.502316960148285</v>
      </c>
      <c r="V9" s="7">
        <v>0.504178272980501</v>
      </c>
      <c r="W9" s="7">
        <v>0.505576208178439</v>
      </c>
      <c r="X9" s="7"/>
      <c r="Y9" s="7" cm="1">
        <f t="array" ref="Y9:AC9">(B45:F45-B9:F9)/B45:F45</f>
        <v>0.490159325210872</v>
      </c>
      <c r="Z9" s="7">
        <v>0.491063029162747</v>
      </c>
      <c r="AA9" s="7">
        <v>0.494350282485876</v>
      </c>
      <c r="AB9" s="7">
        <v>0.497175141242938</v>
      </c>
      <c r="AC9" s="7">
        <v>0.499058380414313</v>
      </c>
      <c r="AD9" s="7"/>
      <c r="AE9" s="7"/>
      <c r="AF9" s="7"/>
      <c r="AG9" s="7"/>
      <c r="AH9" s="7"/>
    </row>
    <row r="10" spans="1:34">
      <c r="A10" t="s">
        <v>25</v>
      </c>
      <c r="B10">
        <v>0.418</v>
      </c>
      <c r="C10">
        <v>0.408</v>
      </c>
      <c r="D10">
        <v>0.408</v>
      </c>
      <c r="E10">
        <v>0.405</v>
      </c>
      <c r="F10">
        <v>0.404</v>
      </c>
      <c r="H10" s="7">
        <v>0.6374</v>
      </c>
      <c r="I10" s="7"/>
      <c r="J10" s="7">
        <v>0.6231</v>
      </c>
      <c r="K10" s="7">
        <v>0.6186</v>
      </c>
      <c r="L10" s="7">
        <f t="shared" si="0"/>
        <v>0.620266097770766</v>
      </c>
      <c r="M10" s="7" cm="1">
        <f t="array" ref="M10:Q10">(B43:F43-B10:F10)/B43:F43</f>
        <v>0.621033544877607</v>
      </c>
      <c r="N10" s="7">
        <v>0.628415300546448</v>
      </c>
      <c r="O10" s="7">
        <v>0.626715462031107</v>
      </c>
      <c r="P10" s="7">
        <v>0.595808383233533</v>
      </c>
      <c r="Q10" s="7">
        <v>0.629357798165138</v>
      </c>
      <c r="R10" s="7"/>
      <c r="S10" s="7" cm="1">
        <f t="array" ref="S10:W10">(B44:F44-B10:F10)/B44:F44</f>
        <v>0.614746543778802</v>
      </c>
      <c r="T10" s="7">
        <v>0.622920517560074</v>
      </c>
      <c r="U10" s="7">
        <v>0.621872103799815</v>
      </c>
      <c r="V10" s="7">
        <v>0.623955431754875</v>
      </c>
      <c r="W10" s="7">
        <v>0.62453531598513</v>
      </c>
      <c r="X10" s="7"/>
      <c r="Y10" s="7" cm="1">
        <f t="array" ref="Y10:AC10">(B45:F45-B10:F10)/B45:F45</f>
        <v>0.608247422680412</v>
      </c>
      <c r="Z10" s="7">
        <v>0.61618062088429</v>
      </c>
      <c r="AA10" s="7">
        <v>0.615819209039548</v>
      </c>
      <c r="AB10" s="7">
        <v>0.61864406779661</v>
      </c>
      <c r="AC10" s="7">
        <v>0.619585687382298</v>
      </c>
      <c r="AD10" s="7"/>
      <c r="AE10" s="7"/>
      <c r="AF10" s="7"/>
      <c r="AG10" s="7"/>
      <c r="AH10" s="7"/>
    </row>
    <row r="11" spans="1:34">
      <c r="A11" t="s">
        <v>27</v>
      </c>
      <c r="B11">
        <v>0.338</v>
      </c>
      <c r="C11">
        <v>0.33</v>
      </c>
      <c r="D11">
        <v>0.33</v>
      </c>
      <c r="E11">
        <v>0.329</v>
      </c>
      <c r="F11">
        <v>0.329</v>
      </c>
      <c r="H11" s="7">
        <v>0.6308</v>
      </c>
      <c r="I11" s="7"/>
      <c r="J11" s="7">
        <v>0.6146</v>
      </c>
      <c r="K11" s="7">
        <v>0.6146</v>
      </c>
      <c r="L11" s="7">
        <f t="shared" si="0"/>
        <v>0.692183413730391</v>
      </c>
      <c r="M11" s="7" cm="1">
        <f t="array" ref="M11:Q11">(B43:F43-B11:F11)/B43:F43</f>
        <v>0.693563009972801</v>
      </c>
      <c r="N11" s="7">
        <v>0.699453551912568</v>
      </c>
      <c r="O11" s="7">
        <v>0.69807868252516</v>
      </c>
      <c r="P11" s="7">
        <v>0.671656686626747</v>
      </c>
      <c r="Q11" s="7">
        <v>0.698165137614679</v>
      </c>
      <c r="R11" s="7"/>
      <c r="S11" s="7" cm="1">
        <f t="array" ref="S11:W11">(B44:F44-B11:F11)/B44:F44</f>
        <v>0.688479262672811</v>
      </c>
      <c r="T11" s="7">
        <v>0.695009242144177</v>
      </c>
      <c r="U11" s="7">
        <v>0.694161260426321</v>
      </c>
      <c r="V11" s="7">
        <v>0.694521819870009</v>
      </c>
      <c r="W11" s="7">
        <v>0.694237918215613</v>
      </c>
      <c r="X11" s="7"/>
      <c r="Y11" s="7" cm="1">
        <f t="array" ref="Y11:AC11">(B45:F45-B11:F11)/B45:F45</f>
        <v>0.683223992502343</v>
      </c>
      <c r="Z11" s="7">
        <v>0.689557855126999</v>
      </c>
      <c r="AA11" s="7">
        <v>0.689265536723164</v>
      </c>
      <c r="AB11" s="7">
        <v>0.690207156308851</v>
      </c>
      <c r="AC11" s="7">
        <v>0.690207156308851</v>
      </c>
      <c r="AD11" s="7"/>
      <c r="AE11" s="7"/>
      <c r="AF11" s="7"/>
      <c r="AG11" s="7"/>
      <c r="AH11" s="7"/>
    </row>
    <row r="12" spans="1:34">
      <c r="A12" t="s">
        <v>29</v>
      </c>
      <c r="B12">
        <v>0.424</v>
      </c>
      <c r="C12">
        <v>0.42</v>
      </c>
      <c r="D12">
        <v>0.418</v>
      </c>
      <c r="E12">
        <v>0.416</v>
      </c>
      <c r="F12">
        <v>0.415</v>
      </c>
      <c r="G12" s="7">
        <v>0.6298</v>
      </c>
      <c r="H12" s="7">
        <v>0.6109</v>
      </c>
      <c r="I12" s="7"/>
      <c r="J12" s="7">
        <v>0.6135</v>
      </c>
      <c r="K12" s="7">
        <v>0.606403013182674</v>
      </c>
      <c r="L12" s="7">
        <f t="shared" si="0"/>
        <v>0.610948579871809</v>
      </c>
      <c r="M12" s="7" cm="1">
        <f t="array" ref="M12:Q12">(B43:F43-B12:F12)/B43:F43</f>
        <v>0.615593834995467</v>
      </c>
      <c r="N12" s="7">
        <v>0.617486338797814</v>
      </c>
      <c r="O12" s="7">
        <v>0.617566331198536</v>
      </c>
      <c r="P12" s="7">
        <v>0.584830339321357</v>
      </c>
      <c r="Q12" s="7">
        <v>0.619266055045872</v>
      </c>
      <c r="R12" s="7"/>
      <c r="S12" s="7" cm="1">
        <f t="array" ref="S12:W12">(B44:F44-B12:F12)/B44:F44</f>
        <v>0.609216589861751</v>
      </c>
      <c r="T12" s="7">
        <v>0.611829944547135</v>
      </c>
      <c r="U12" s="7">
        <v>0.612604263206673</v>
      </c>
      <c r="V12" s="7">
        <v>0.613741875580316</v>
      </c>
      <c r="W12" s="7">
        <v>0.614312267657993</v>
      </c>
      <c r="X12" s="7"/>
      <c r="Y12" s="7" cm="1">
        <f t="array" ref="Y12:AC12">(B45:F45-B12:F12)/B45:F45</f>
        <v>0.602624179943768</v>
      </c>
      <c r="Z12" s="7">
        <v>0.604891815616181</v>
      </c>
      <c r="AA12" s="7">
        <v>0.606403013182674</v>
      </c>
      <c r="AB12" s="7">
        <v>0.608286252354049</v>
      </c>
      <c r="AC12" s="7">
        <v>0.609227871939736</v>
      </c>
      <c r="AD12" s="7"/>
      <c r="AE12" s="7"/>
      <c r="AF12" s="7"/>
      <c r="AG12" s="7"/>
      <c r="AH12" s="7"/>
    </row>
    <row r="13" spans="1:34">
      <c r="A13" t="s">
        <v>31</v>
      </c>
      <c r="B13">
        <v>0.426</v>
      </c>
      <c r="C13">
        <v>0.414</v>
      </c>
      <c r="D13">
        <v>0.412</v>
      </c>
      <c r="E13">
        <v>0.409</v>
      </c>
      <c r="F13">
        <v>0.408</v>
      </c>
      <c r="G13" s="7">
        <v>0.6399</v>
      </c>
      <c r="H13" s="7">
        <v>0.6155</v>
      </c>
      <c r="I13" s="7"/>
      <c r="J13" s="7">
        <v>0.618164967562558</v>
      </c>
      <c r="K13" s="7">
        <v>0.6114</v>
      </c>
      <c r="L13" s="7">
        <f t="shared" si="0"/>
        <v>0.615458333679652</v>
      </c>
      <c r="M13" s="7" cm="1">
        <f t="array" ref="M13:Q13">(B43:F43-B13:F13)/B43:F43</f>
        <v>0.613780598368087</v>
      </c>
      <c r="N13" s="7">
        <v>0.622950819672131</v>
      </c>
      <c r="O13" s="7">
        <v>0.623055809698079</v>
      </c>
      <c r="P13" s="7">
        <v>0.591816367265469</v>
      </c>
      <c r="Q13" s="7">
        <v>0.625688073394496</v>
      </c>
      <c r="R13" s="7"/>
      <c r="S13" s="7" cm="1">
        <f t="array" ref="S13:W13">(B44:F44-B13:F13)/B44:F44</f>
        <v>0.607373271889401</v>
      </c>
      <c r="T13" s="7">
        <v>0.617375231053604</v>
      </c>
      <c r="U13" s="7">
        <v>0.618164967562558</v>
      </c>
      <c r="V13" s="7">
        <v>0.620241411327762</v>
      </c>
      <c r="W13" s="7">
        <v>0.620817843866171</v>
      </c>
      <c r="X13" s="7"/>
      <c r="Y13" s="7" cm="1">
        <f t="array" ref="Y13:AC13">(B45:F45-B13:F13)/B45:F45</f>
        <v>0.600749765698219</v>
      </c>
      <c r="Z13" s="7">
        <v>0.610536218250235</v>
      </c>
      <c r="AA13" s="7">
        <v>0.612052730696799</v>
      </c>
      <c r="AB13" s="7">
        <v>0.614877589453861</v>
      </c>
      <c r="AC13" s="7">
        <v>0.615819209039548</v>
      </c>
      <c r="AD13" s="7"/>
      <c r="AE13" s="7"/>
      <c r="AF13" s="7"/>
      <c r="AG13" s="7"/>
      <c r="AH13" s="7"/>
    </row>
    <row r="14" spans="13:34"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</row>
    <row r="15" spans="13:34">
      <c r="M15" s="7"/>
      <c r="N15" s="7"/>
      <c r="O15" s="7"/>
      <c r="P15" s="7"/>
      <c r="Q15" s="7"/>
      <c r="R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</row>
    <row r="16" spans="13:34">
      <c r="M16" s="7"/>
      <c r="N16" s="7"/>
      <c r="O16" s="7"/>
      <c r="P16" s="7"/>
      <c r="Q16" s="7"/>
      <c r="R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</row>
    <row r="17" spans="1:34">
      <c r="A17" t="s">
        <v>2</v>
      </c>
      <c r="H17" s="4" t="s">
        <v>35</v>
      </c>
      <c r="I17" s="4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</row>
    <row r="18" ht="19.2" spans="1:34">
      <c r="A18" t="s">
        <v>7</v>
      </c>
      <c r="B18">
        <v>0.431</v>
      </c>
      <c r="C18">
        <v>0.46</v>
      </c>
      <c r="D18">
        <v>0.466</v>
      </c>
      <c r="E18">
        <v>0.46</v>
      </c>
      <c r="F18">
        <v>0.458</v>
      </c>
      <c r="G18" s="20"/>
      <c r="H18" s="7">
        <f t="shared" ref="H18:H20" si="1">AVERAGE(K18:O18)</f>
        <v>0.587984825434734</v>
      </c>
      <c r="I18" s="7">
        <f>AVERAGE(T18:W18)</f>
        <v>0.572554272364548</v>
      </c>
      <c r="J18" s="7">
        <f>AVERAGE(Z18:AC18)</f>
        <v>0.566015239532787</v>
      </c>
      <c r="K18" s="7"/>
      <c r="L18" s="4" t="s">
        <v>38</v>
      </c>
      <c r="M18" s="7" cm="1">
        <f t="array" ref="M18:Q18">(B43:F43-B18:F18)/B43:F43</f>
        <v>0.609247506799637</v>
      </c>
      <c r="N18" s="7">
        <v>0.581056466302368</v>
      </c>
      <c r="O18" s="7">
        <v>0.573650503202196</v>
      </c>
      <c r="P18" s="7">
        <v>0.540918163672655</v>
      </c>
      <c r="Q18" s="7">
        <v>0.579816513761468</v>
      </c>
      <c r="R18" s="21" t="s">
        <v>39</v>
      </c>
      <c r="S18" s="7" cm="1">
        <f t="array" ref="S18:W18">(B44:F44-B18:F18)/B44:F44</f>
        <v>0.602764976958525</v>
      </c>
      <c r="T18" s="7">
        <v>0.574861367837338</v>
      </c>
      <c r="U18" s="7">
        <v>0.568118628359592</v>
      </c>
      <c r="V18" s="7">
        <v>0.57288765088208</v>
      </c>
      <c r="W18" s="7">
        <v>0.574349442379182</v>
      </c>
      <c r="X18" s="21" t="s">
        <v>40</v>
      </c>
      <c r="Y18" s="7" cm="1">
        <f t="array" ref="Y18:AC18">(B45:F45-B18:F18)/B45:F45</f>
        <v>0.596063730084349</v>
      </c>
      <c r="Z18" s="7">
        <v>0.567262464722484</v>
      </c>
      <c r="AA18" s="7">
        <v>0.56120527306968</v>
      </c>
      <c r="AB18" s="7">
        <v>0.566854990583804</v>
      </c>
      <c r="AC18" s="7">
        <v>0.568738229755179</v>
      </c>
      <c r="AD18" s="7"/>
      <c r="AE18" s="7"/>
      <c r="AF18" s="7"/>
      <c r="AG18" s="7"/>
      <c r="AH18" s="7"/>
    </row>
    <row r="19" ht="19.2" spans="1:34">
      <c r="A19" t="s">
        <v>10</v>
      </c>
      <c r="B19">
        <v>0.47</v>
      </c>
      <c r="C19">
        <v>0.492</v>
      </c>
      <c r="D19">
        <v>0.491</v>
      </c>
      <c r="E19">
        <v>0.439</v>
      </c>
      <c r="F19">
        <v>0.483</v>
      </c>
      <c r="G19" s="20"/>
      <c r="H19" s="7">
        <f t="shared" si="1"/>
        <v>0.558859878997503</v>
      </c>
      <c r="I19" s="7">
        <f>AVERAGE(S19:U19,W19)</f>
        <v>0.552042762869906</v>
      </c>
      <c r="J19" s="7">
        <f>AVERAGE(Y19:AA19,AC19)</f>
        <v>0.544883539961043</v>
      </c>
      <c r="K19" s="7"/>
      <c r="L19" s="7"/>
      <c r="M19" s="7" cm="1">
        <f t="array" ref="M19:Q19">(B43:F43-B19:F19)/B43:F43</f>
        <v>0.57388939256573</v>
      </c>
      <c r="N19" s="7">
        <v>0.551912568306011</v>
      </c>
      <c r="O19" s="7">
        <v>0.550777676120769</v>
      </c>
      <c r="P19" s="7">
        <v>0.56187624750499</v>
      </c>
      <c r="Q19" s="7">
        <v>0.556880733944954</v>
      </c>
      <c r="R19" s="7"/>
      <c r="S19" s="7" cm="1">
        <f t="array" ref="S19:W19">(B44:F44-B19:F19)/B44:F44</f>
        <v>0.566820276497696</v>
      </c>
      <c r="T19" s="7">
        <v>0.545286506469501</v>
      </c>
      <c r="U19" s="7">
        <v>0.544949026876738</v>
      </c>
      <c r="V19" s="7">
        <v>0.59238625812442</v>
      </c>
      <c r="W19" s="7">
        <v>0.551115241635688</v>
      </c>
      <c r="X19" s="7"/>
      <c r="Y19" s="7" cm="1">
        <f t="array" ref="Y19:AC19">(B45:F45-B19:F19)/B45:F45</f>
        <v>0.559512652296157</v>
      </c>
      <c r="Z19" s="7">
        <v>0.537158984007526</v>
      </c>
      <c r="AA19" s="7">
        <v>0.537664783427495</v>
      </c>
      <c r="AB19" s="7">
        <v>0.586629001883239</v>
      </c>
      <c r="AC19" s="7">
        <v>0.545197740112994</v>
      </c>
      <c r="AD19" s="7"/>
      <c r="AE19" s="7"/>
      <c r="AF19" s="7"/>
      <c r="AG19" s="7"/>
      <c r="AH19" s="7"/>
    </row>
    <row r="20" ht="19.2" spans="1:34">
      <c r="A20" t="s">
        <v>13</v>
      </c>
      <c r="B20">
        <v>0.408</v>
      </c>
      <c r="C20">
        <v>0.401</v>
      </c>
      <c r="D20">
        <v>0.401</v>
      </c>
      <c r="E20">
        <v>0.399</v>
      </c>
      <c r="F20">
        <v>0.399</v>
      </c>
      <c r="G20" s="20"/>
      <c r="H20" s="7">
        <f t="shared" si="1"/>
        <v>0.632670036620521</v>
      </c>
      <c r="I20" s="7">
        <f>AVERAGE(S20:W20)</f>
        <v>0.628084272573845</v>
      </c>
      <c r="J20" s="7">
        <f>AVERAGE(Z20:AC20)</f>
        <v>0.623440968512879</v>
      </c>
      <c r="K20" s="7"/>
      <c r="L20" s="7"/>
      <c r="M20" s="7" cm="1">
        <f t="array" ref="M20:Q20">(B43:F43-B20:F20)/B43:F43</f>
        <v>0.630099728014506</v>
      </c>
      <c r="N20" s="7">
        <v>0.634790528233151</v>
      </c>
      <c r="O20" s="7">
        <v>0.633119853613907</v>
      </c>
      <c r="P20" s="7">
        <v>0.601796407185629</v>
      </c>
      <c r="Q20" s="7">
        <v>0.63394495412844</v>
      </c>
      <c r="R20" s="7"/>
      <c r="S20" s="7" cm="1">
        <f t="array" ref="S20:W20">(B44:F44-B20:F20)/B44:F44</f>
        <v>0.623963133640553</v>
      </c>
      <c r="T20" s="7">
        <v>0.629390018484288</v>
      </c>
      <c r="U20" s="7">
        <v>0.628359592215014</v>
      </c>
      <c r="V20" s="7">
        <v>0.629526462395543</v>
      </c>
      <c r="W20" s="7">
        <v>0.629182156133829</v>
      </c>
      <c r="X20" s="7"/>
      <c r="Y20" s="7" cm="1">
        <f t="array" ref="Y20:AC20">(B45:F45-B20:F20)/B45:F45</f>
        <v>0.617619493908154</v>
      </c>
      <c r="Z20" s="7">
        <v>0.622765757290687</v>
      </c>
      <c r="AA20" s="7">
        <v>0.62241054613936</v>
      </c>
      <c r="AB20" s="7">
        <v>0.624293785310734</v>
      </c>
      <c r="AC20" s="7">
        <v>0.624293785310734</v>
      </c>
      <c r="AD20" s="7"/>
      <c r="AE20" s="7"/>
      <c r="AF20" s="7"/>
      <c r="AG20" s="7"/>
      <c r="AH20" s="7"/>
    </row>
    <row r="21" ht="19.2" spans="1:34">
      <c r="A21" t="s">
        <v>16</v>
      </c>
      <c r="B21">
        <v>0.547</v>
      </c>
      <c r="C21">
        <v>0.562</v>
      </c>
      <c r="D21">
        <v>0.558</v>
      </c>
      <c r="E21">
        <v>0.555</v>
      </c>
      <c r="F21">
        <v>0.553</v>
      </c>
      <c r="G21" s="20"/>
      <c r="H21" s="7">
        <f>AVERAGE(K21,L21:M21,O21)</f>
        <v>0.496779140977074</v>
      </c>
      <c r="I21" s="7">
        <f>AVERAGE(T21:W21)</f>
        <v>0.483546284355527</v>
      </c>
      <c r="J21" s="7">
        <f>AVERAGE(Y21:AC21)</f>
        <v>0.477983418806185</v>
      </c>
      <c r="K21" s="7"/>
      <c r="L21" s="7"/>
      <c r="M21" s="7" cm="1">
        <f t="array" ref="M21:Q21">(B43:F43-B21:F21)/B43:F43</f>
        <v>0.504079782411605</v>
      </c>
      <c r="N21" s="7">
        <v>0.48816029143898</v>
      </c>
      <c r="O21" s="7">
        <v>0.489478499542543</v>
      </c>
      <c r="P21" s="7">
        <v>0.446107784431138</v>
      </c>
      <c r="Q21" s="7">
        <v>0.492660550458716</v>
      </c>
      <c r="R21" s="7"/>
      <c r="S21" s="7" cm="1">
        <f t="array" ref="S21:W21">(B44:F44-B21:F21)/B44:F44</f>
        <v>0.495852534562212</v>
      </c>
      <c r="T21" s="7">
        <v>0.480591497227357</v>
      </c>
      <c r="U21" s="7">
        <v>0.482854494902688</v>
      </c>
      <c r="V21" s="7">
        <v>0.484679665738162</v>
      </c>
      <c r="W21" s="7">
        <v>0.486059479553903</v>
      </c>
      <c r="X21" s="7"/>
      <c r="Y21" s="7" cm="1">
        <f t="array" ref="Y21:AC21">(B45:F45-B21:F21)/B45:F45</f>
        <v>0.487347703842549</v>
      </c>
      <c r="Z21" s="7">
        <v>0.471307619943556</v>
      </c>
      <c r="AA21" s="7">
        <v>0.474576271186441</v>
      </c>
      <c r="AB21" s="7">
        <v>0.477401129943503</v>
      </c>
      <c r="AC21" s="7">
        <v>0.479284369114878</v>
      </c>
      <c r="AD21" s="7"/>
      <c r="AE21" s="7"/>
      <c r="AF21" s="7"/>
      <c r="AG21" s="7"/>
      <c r="AH21" s="7"/>
    </row>
    <row r="22" ht="19.2" spans="1:34">
      <c r="A22" t="s">
        <v>18</v>
      </c>
      <c r="B22">
        <v>0.507</v>
      </c>
      <c r="C22">
        <v>0.528</v>
      </c>
      <c r="D22">
        <v>0.533</v>
      </c>
      <c r="E22">
        <v>0.531</v>
      </c>
      <c r="F22">
        <v>0.529</v>
      </c>
      <c r="G22" s="20"/>
      <c r="H22" s="7">
        <f t="shared" ref="H22:H27" si="2">AVERAGE(K22:M22,O22)</f>
        <v>0.526347920791586</v>
      </c>
      <c r="I22" s="7">
        <f>AVERAGE(T22:W22)</f>
        <v>0.50834174609618</v>
      </c>
      <c r="J22" s="7">
        <f>AVERAGE(Z22,AB22:AC22)</f>
        <v>0.501725269124858</v>
      </c>
      <c r="K22" s="7"/>
      <c r="L22" s="7"/>
      <c r="M22" s="7" cm="1">
        <f t="array" ref="M22:Q22">(B43:F43-B22:F22)/B43:F43</f>
        <v>0.540344514959202</v>
      </c>
      <c r="N22" s="7">
        <v>0.519125683060109</v>
      </c>
      <c r="O22" s="7">
        <v>0.512351326623971</v>
      </c>
      <c r="P22" s="7">
        <v>0.470059880239521</v>
      </c>
      <c r="Q22" s="7">
        <v>0.514678899082569</v>
      </c>
      <c r="R22" s="7"/>
      <c r="S22" s="7" cm="1">
        <f t="array" ref="S22:W22">(B44:F44-B22:F22)/B44:F44</f>
        <v>0.532718894009217</v>
      </c>
      <c r="T22" s="7">
        <v>0.512014787430684</v>
      </c>
      <c r="U22" s="7">
        <v>0.506024096385542</v>
      </c>
      <c r="V22" s="7">
        <v>0.506963788300836</v>
      </c>
      <c r="W22" s="7">
        <v>0.508364312267658</v>
      </c>
      <c r="X22" s="7"/>
      <c r="Y22" s="7" cm="1">
        <f t="array" ref="Y22:AC22">(B45:F45-B22:F22)/B45:F45</f>
        <v>0.524835988753514</v>
      </c>
      <c r="Z22" s="7">
        <v>0.503292568203198</v>
      </c>
      <c r="AA22" s="7">
        <v>0.498116760828625</v>
      </c>
      <c r="AB22" s="7">
        <v>0.5</v>
      </c>
      <c r="AC22" s="7">
        <v>0.501883239171375</v>
      </c>
      <c r="AD22" s="7"/>
      <c r="AE22" s="7"/>
      <c r="AF22" s="7"/>
      <c r="AG22" s="7"/>
      <c r="AH22" s="7"/>
    </row>
    <row r="23" ht="19.2" spans="1:34">
      <c r="A23" t="s">
        <v>20</v>
      </c>
      <c r="B23">
        <v>0.513</v>
      </c>
      <c r="C23">
        <v>0.493</v>
      </c>
      <c r="D23">
        <v>0.489</v>
      </c>
      <c r="E23">
        <v>0.453</v>
      </c>
      <c r="F23">
        <v>0.487</v>
      </c>
      <c r="G23" s="20"/>
      <c r="H23" s="7">
        <f t="shared" ref="H23:H28" si="3">AVERAGE(K23:O23)</f>
        <v>0.54617137628599</v>
      </c>
      <c r="I23" s="7">
        <f>AVERAGE(S23:U23,W23)</f>
        <v>0.541437899164004</v>
      </c>
      <c r="J23" s="7">
        <f>AVERAGE(Z23:AA23,AC23)</f>
        <v>0.539065844868099</v>
      </c>
      <c r="K23" s="7"/>
      <c r="L23" s="7"/>
      <c r="M23" s="7" cm="1">
        <f t="array" ref="M23:Q23">(B43:F43-B23:F23)/B43:F43</f>
        <v>0.534904805077063</v>
      </c>
      <c r="N23" s="7">
        <v>0.551001821493625</v>
      </c>
      <c r="O23" s="7">
        <v>0.552607502287283</v>
      </c>
      <c r="P23" s="7">
        <v>0.547904191616766</v>
      </c>
      <c r="Q23" s="7">
        <v>0.553211009174312</v>
      </c>
      <c r="R23" s="7"/>
      <c r="S23" s="7" cm="1">
        <f t="array" ref="S23:W23">(B44:F44-B23:F23)/B44:F44</f>
        <v>0.527188940092166</v>
      </c>
      <c r="T23" s="7">
        <v>0.544362292051756</v>
      </c>
      <c r="U23" s="7">
        <v>0.546802594995366</v>
      </c>
      <c r="V23" s="7">
        <v>0.579387186629526</v>
      </c>
      <c r="W23" s="7">
        <v>0.547397769516729</v>
      </c>
      <c r="X23" s="7"/>
      <c r="Y23" s="7" cm="1">
        <f t="array" ref="Y23:AC23">(B45:F45-B23:F23)/B45:F45</f>
        <v>0.51921274601687</v>
      </c>
      <c r="Z23" s="7">
        <v>0.536218250235183</v>
      </c>
      <c r="AA23" s="7">
        <v>0.53954802259887</v>
      </c>
      <c r="AB23" s="7">
        <v>0.573446327683616</v>
      </c>
      <c r="AC23" s="7">
        <v>0.541431261770245</v>
      </c>
      <c r="AD23" s="7"/>
      <c r="AE23" s="7"/>
      <c r="AF23" s="7"/>
      <c r="AG23" s="7"/>
      <c r="AH23" s="7"/>
    </row>
    <row r="24" ht="19.2" spans="1:34">
      <c r="A24" t="s">
        <v>22</v>
      </c>
      <c r="B24">
        <v>0.438</v>
      </c>
      <c r="C24">
        <v>0.436</v>
      </c>
      <c r="D24">
        <v>0.434</v>
      </c>
      <c r="E24">
        <v>0.434</v>
      </c>
      <c r="F24">
        <v>0.434</v>
      </c>
      <c r="G24" s="20"/>
      <c r="H24" s="7">
        <f t="shared" si="2"/>
        <v>0.602914450235115</v>
      </c>
      <c r="I24" s="7">
        <f>AVERAGE(S24:W24)</f>
        <v>0.596962930985482</v>
      </c>
      <c r="J24" s="7">
        <f>AVERAGE(Y24:AC24)</f>
        <v>0.590670930983732</v>
      </c>
      <c r="K24" s="7"/>
      <c r="L24" s="7"/>
      <c r="M24" s="7" cm="1">
        <f t="array" ref="M24:Q24">(B43:F43-B24:F24)/B43:F43</f>
        <v>0.602901178603808</v>
      </c>
      <c r="N24" s="7">
        <v>0.602914389799636</v>
      </c>
      <c r="O24" s="7">
        <v>0.602927721866423</v>
      </c>
      <c r="P24" s="7">
        <v>0.56686626746507</v>
      </c>
      <c r="Q24" s="7">
        <v>0.601834862385321</v>
      </c>
      <c r="R24" s="7"/>
      <c r="S24" s="7" cm="1">
        <f t="array" ref="S24:W24">(B44:F44-B24:F24)/B44:F44</f>
        <v>0.5963133640553</v>
      </c>
      <c r="T24" s="7">
        <v>0.597042513863216</v>
      </c>
      <c r="U24" s="7">
        <v>0.597775718257646</v>
      </c>
      <c r="V24" s="7">
        <v>0.59702878365831</v>
      </c>
      <c r="W24" s="7">
        <v>0.596654275092937</v>
      </c>
      <c r="X24" s="7"/>
      <c r="Y24" s="7" cm="1">
        <f t="array" ref="Y24:AC24">(B45:F45-B24:F24)/B45:F45</f>
        <v>0.58950328022493</v>
      </c>
      <c r="Z24" s="7">
        <v>0.589840075258702</v>
      </c>
      <c r="AA24" s="7">
        <v>0.591337099811676</v>
      </c>
      <c r="AB24" s="7">
        <v>0.591337099811676</v>
      </c>
      <c r="AC24" s="7">
        <v>0.591337099811676</v>
      </c>
      <c r="AD24" s="7"/>
      <c r="AE24" s="7"/>
      <c r="AF24" s="7"/>
      <c r="AG24" s="7"/>
      <c r="AH24" s="7"/>
    </row>
    <row r="25" ht="19.2" spans="1:34">
      <c r="A25" t="s">
        <v>24</v>
      </c>
      <c r="B25">
        <v>0.481</v>
      </c>
      <c r="C25">
        <v>0.4486</v>
      </c>
      <c r="D25">
        <v>0.485</v>
      </c>
      <c r="E25">
        <v>0.433</v>
      </c>
      <c r="F25">
        <v>0.482</v>
      </c>
      <c r="G25" s="20"/>
      <c r="H25" s="7">
        <f t="shared" si="3"/>
        <v>0.570540908566341</v>
      </c>
      <c r="I25" s="7">
        <f>AVERAGE(S25:T25,U25,W25)</f>
        <v>0.561158445186863</v>
      </c>
      <c r="J25" s="7">
        <f>AVERAGE(Y25:AA25,AC25)</f>
        <v>0.554161016078283</v>
      </c>
      <c r="K25" s="7"/>
      <c r="L25" s="7"/>
      <c r="M25" s="7" cm="1">
        <f t="array" ref="M25:Q25">(B43:F43-B25:F25)/B43:F43</f>
        <v>0.563916591115141</v>
      </c>
      <c r="N25" s="7">
        <v>0.59143897996357</v>
      </c>
      <c r="O25" s="7">
        <v>0.556267154620311</v>
      </c>
      <c r="P25" s="7">
        <v>0.567864271457086</v>
      </c>
      <c r="Q25" s="7">
        <v>0.557798165137615</v>
      </c>
      <c r="R25" s="7"/>
      <c r="S25" s="7" cm="1">
        <f t="array" ref="S25:W25">(B44:F44-B25:F25)/B44:F44</f>
        <v>0.55668202764977</v>
      </c>
      <c r="T25" s="7">
        <v>0.58539741219963</v>
      </c>
      <c r="U25" s="7">
        <v>0.550509731232623</v>
      </c>
      <c r="V25" s="7">
        <v>0.597957288765088</v>
      </c>
      <c r="W25" s="7">
        <v>0.552044609665428</v>
      </c>
      <c r="X25" s="7"/>
      <c r="Y25" s="7" cm="1">
        <f t="array" ref="Y25:AC25">(B45:F45-B25:F25)/B45:F45</f>
        <v>0.549203373945642</v>
      </c>
      <c r="Z25" s="7">
        <v>0.577986829727187</v>
      </c>
      <c r="AA25" s="7">
        <v>0.54331450094162</v>
      </c>
      <c r="AB25" s="7">
        <v>0.592278719397363</v>
      </c>
      <c r="AC25" s="7">
        <v>0.546139359698682</v>
      </c>
      <c r="AD25" s="7"/>
      <c r="AE25" s="7"/>
      <c r="AF25" s="7"/>
      <c r="AG25" s="7"/>
      <c r="AH25" s="7"/>
    </row>
    <row r="26" ht="19.2" spans="1:34">
      <c r="A26" t="s">
        <v>26</v>
      </c>
      <c r="B26">
        <v>0.47</v>
      </c>
      <c r="C26">
        <v>0.458</v>
      </c>
      <c r="D26">
        <v>0.457</v>
      </c>
      <c r="E26">
        <v>0.454</v>
      </c>
      <c r="F26">
        <v>0.453</v>
      </c>
      <c r="G26" s="20"/>
      <c r="H26" s="7">
        <f t="shared" si="2"/>
        <v>0.57788705675862</v>
      </c>
      <c r="I26" s="7">
        <f>AVERAGE(S26:W26)</f>
        <v>0.575488944422915</v>
      </c>
      <c r="J26" s="7">
        <f>AVERAGE(Z26:AC26)</f>
        <v>0.571193704347395</v>
      </c>
      <c r="K26" s="7"/>
      <c r="L26" s="7"/>
      <c r="M26" s="7" cm="1">
        <f t="array" ref="M26:Q26">(B43:F43-B26:F26)/B43:F43</f>
        <v>0.57388939256573</v>
      </c>
      <c r="N26" s="7">
        <v>0.58287795992714</v>
      </c>
      <c r="O26" s="7">
        <v>0.58188472095151</v>
      </c>
      <c r="P26" s="7">
        <v>0.546906187624751</v>
      </c>
      <c r="Q26" s="7">
        <v>0.584403669724771</v>
      </c>
      <c r="R26" s="7"/>
      <c r="S26" s="7" cm="1">
        <f t="array" ref="S26:W26">(B44:F44-B26:F26)/B44:F44</f>
        <v>0.566820276497696</v>
      </c>
      <c r="T26" s="7">
        <v>0.576709796672828</v>
      </c>
      <c r="U26" s="7">
        <v>0.57645968489342</v>
      </c>
      <c r="V26" s="7">
        <v>0.578458681522748</v>
      </c>
      <c r="W26" s="7">
        <v>0.578996282527881</v>
      </c>
      <c r="X26" s="7"/>
      <c r="Y26" s="7" cm="1">
        <f t="array" ref="Y26:AC26">(B45:F45-B26:F26)/B45:F45</f>
        <v>0.559512652296157</v>
      </c>
      <c r="Z26" s="7">
        <v>0.569143932267168</v>
      </c>
      <c r="AA26" s="7">
        <v>0.569679849340866</v>
      </c>
      <c r="AB26" s="7">
        <v>0.572504708097929</v>
      </c>
      <c r="AC26" s="7">
        <v>0.573446327683616</v>
      </c>
      <c r="AD26" s="7"/>
      <c r="AE26" s="7"/>
      <c r="AF26" s="7"/>
      <c r="AG26" s="7"/>
      <c r="AH26" s="7"/>
    </row>
    <row r="27" ht="19.2" spans="1:34">
      <c r="A27" t="s">
        <v>28</v>
      </c>
      <c r="B27">
        <v>0.455</v>
      </c>
      <c r="C27">
        <v>0.457</v>
      </c>
      <c r="D27">
        <v>0.458</v>
      </c>
      <c r="E27">
        <v>0.457</v>
      </c>
      <c r="F27">
        <v>0.456</v>
      </c>
      <c r="G27" s="20"/>
      <c r="H27" s="7">
        <f t="shared" si="2"/>
        <v>0.584229237569666</v>
      </c>
      <c r="I27" s="7">
        <f>AVERAGE(S27:W27)</f>
        <v>0.577138683571215</v>
      </c>
      <c r="J27" s="7">
        <f>AVERAGE(Y27:AC27)</f>
        <v>0.570538994639976</v>
      </c>
      <c r="K27" s="7"/>
      <c r="L27" s="7"/>
      <c r="M27" s="7" cm="1">
        <f t="array" ref="M27:Q27">(B43:F43-B27:F27)/B43:F43</f>
        <v>0.587488667271079</v>
      </c>
      <c r="N27" s="7">
        <v>0.583788706739526</v>
      </c>
      <c r="O27" s="7">
        <v>0.580969807868253</v>
      </c>
      <c r="P27" s="7">
        <v>0.543912175648703</v>
      </c>
      <c r="Q27" s="7">
        <v>0.581651376146789</v>
      </c>
      <c r="R27" s="7"/>
      <c r="S27" s="7" cm="1">
        <f t="array" ref="S27:W27">(B44:F44-B27:F27)/B44:F44</f>
        <v>0.580645161290323</v>
      </c>
      <c r="T27" s="7">
        <v>0.577634011090573</v>
      </c>
      <c r="U27" s="7">
        <v>0.575532900834106</v>
      </c>
      <c r="V27" s="7">
        <v>0.575673166202414</v>
      </c>
      <c r="W27" s="7">
        <v>0.576208178438662</v>
      </c>
      <c r="X27" s="7"/>
      <c r="Y27" s="7" cm="1">
        <f t="array" ref="Y27:AC27">(B45:F45-B27:F27)/B45:F45</f>
        <v>0.573570759137769</v>
      </c>
      <c r="Z27" s="7">
        <v>0.570084666039511</v>
      </c>
      <c r="AA27" s="7">
        <v>0.568738229755179</v>
      </c>
      <c r="AB27" s="7">
        <v>0.569679849340866</v>
      </c>
      <c r="AC27" s="7">
        <v>0.570621468926554</v>
      </c>
      <c r="AD27" s="7"/>
      <c r="AE27" s="7"/>
      <c r="AF27" s="7"/>
      <c r="AG27" s="7"/>
      <c r="AH27" s="7"/>
    </row>
    <row r="28" ht="19.2" spans="1:34">
      <c r="A28" t="s">
        <v>30</v>
      </c>
      <c r="B28">
        <v>0.445</v>
      </c>
      <c r="C28">
        <v>0.435</v>
      </c>
      <c r="D28">
        <v>0.436</v>
      </c>
      <c r="E28">
        <v>0.436</v>
      </c>
      <c r="F28">
        <v>0.453</v>
      </c>
      <c r="G28" s="20"/>
      <c r="H28" s="7">
        <f t="shared" si="3"/>
        <v>0.600492627573303</v>
      </c>
      <c r="I28" s="7">
        <f>AVERAGE(S28:V28)</f>
        <v>0.594730600754202</v>
      </c>
      <c r="J28" s="7">
        <f>AVERAGE(Y28:AB28)</f>
        <v>0.588157840169289</v>
      </c>
      <c r="K28" s="7"/>
      <c r="L28" s="7"/>
      <c r="M28" s="7" cm="1">
        <f t="array" ref="M28:Q28">(B43:F43-B28:F28)/B43:F43</f>
        <v>0.596554850407978</v>
      </c>
      <c r="N28" s="7">
        <v>0.603825136612022</v>
      </c>
      <c r="O28" s="7">
        <v>0.601097895699909</v>
      </c>
      <c r="P28" s="7">
        <v>0.564870259481038</v>
      </c>
      <c r="Q28" s="7">
        <v>0.584403669724771</v>
      </c>
      <c r="R28" s="7"/>
      <c r="S28" s="7" cm="1">
        <f t="array" ref="S28:W28">(B44:F44-B28:F28)/B44:F44</f>
        <v>0.589861751152074</v>
      </c>
      <c r="T28" s="7">
        <v>0.597966728280961</v>
      </c>
      <c r="U28" s="7">
        <v>0.595922150139018</v>
      </c>
      <c r="V28" s="7">
        <v>0.595171773444754</v>
      </c>
      <c r="W28" s="7">
        <v>0.578996282527881</v>
      </c>
      <c r="X28" s="7"/>
      <c r="Y28" s="7" cm="1">
        <f t="array" ref="Y28:AC28">(B45:F45-B28:F28)/B45:F45</f>
        <v>0.582942830365511</v>
      </c>
      <c r="Z28" s="7">
        <v>0.590780809031044</v>
      </c>
      <c r="AA28" s="7">
        <v>0.589453860640301</v>
      </c>
      <c r="AB28" s="7">
        <v>0.589453860640301</v>
      </c>
      <c r="AC28" s="7">
        <v>0.573446327683616</v>
      </c>
      <c r="AD28" s="7"/>
      <c r="AE28" s="7"/>
      <c r="AF28" s="7"/>
      <c r="AG28" s="7"/>
      <c r="AH28" s="7"/>
    </row>
    <row r="29" ht="19.2" spans="1:34">
      <c r="A29" t="s">
        <v>32</v>
      </c>
      <c r="B29">
        <v>0.439</v>
      </c>
      <c r="C29">
        <v>0.429</v>
      </c>
      <c r="D29">
        <v>0.43</v>
      </c>
      <c r="E29">
        <v>0.429</v>
      </c>
      <c r="F29">
        <v>0.429</v>
      </c>
      <c r="G29" s="20"/>
      <c r="H29" s="7">
        <f>AVERAGE(K29:M29,O29)</f>
        <v>0.604290967244784</v>
      </c>
      <c r="I29" s="7">
        <f>AVERAGE(T29:W29)</f>
        <v>0.601991823429042</v>
      </c>
      <c r="J29" s="7">
        <f>AVERAGE(Z29:AC29)</f>
        <v>0.595904796324938</v>
      </c>
      <c r="K29" s="7"/>
      <c r="L29" s="7"/>
      <c r="M29" s="7" cm="1">
        <f t="array" ref="M29:Q29">(B43:F43-B29:F29)/B43:F43</f>
        <v>0.601994560290118</v>
      </c>
      <c r="N29" s="7">
        <v>0.609289617486339</v>
      </c>
      <c r="O29" s="7">
        <v>0.606587374199451</v>
      </c>
      <c r="P29" s="7">
        <v>0.57185628742515</v>
      </c>
      <c r="Q29" s="7">
        <v>0.606422018348624</v>
      </c>
      <c r="R29" s="7"/>
      <c r="S29" s="7" cm="1">
        <f t="array" ref="S29:W29">(B44:F44-B29:F29)/B44:F44</f>
        <v>0.595391705069124</v>
      </c>
      <c r="T29" s="7">
        <v>0.603512014787431</v>
      </c>
      <c r="U29" s="7">
        <v>0.601482854494903</v>
      </c>
      <c r="V29" s="7">
        <v>0.6016713091922</v>
      </c>
      <c r="W29" s="7">
        <v>0.601301115241636</v>
      </c>
      <c r="X29" s="7"/>
      <c r="Y29" s="7" cm="1">
        <f t="array" ref="Y29:AC29">(B45:F45-B29:F29)/B45:F45</f>
        <v>0.588566073102155</v>
      </c>
      <c r="Z29" s="7">
        <v>0.596425211665099</v>
      </c>
      <c r="AA29" s="7">
        <v>0.595103578154426</v>
      </c>
      <c r="AB29" s="7">
        <v>0.596045197740113</v>
      </c>
      <c r="AC29" s="7">
        <v>0.596045197740113</v>
      </c>
      <c r="AD29" s="7"/>
      <c r="AE29" s="7"/>
      <c r="AF29" s="7"/>
      <c r="AG29" s="7"/>
      <c r="AH29" s="7"/>
    </row>
    <row r="30" spans="10:34">
      <c r="J30" s="7"/>
      <c r="M30" s="7"/>
      <c r="N30" s="7"/>
      <c r="O30" s="7"/>
      <c r="P30" s="7"/>
      <c r="Q30" s="7"/>
      <c r="R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</row>
    <row r="31" spans="13:34">
      <c r="M31" s="7"/>
      <c r="N31" s="7"/>
      <c r="O31" s="7"/>
      <c r="P31" s="7"/>
      <c r="Q31" s="7"/>
      <c r="R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</row>
    <row r="32" spans="13:34"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</row>
    <row r="33" spans="13:34"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</row>
    <row r="34" spans="13:34">
      <c r="M34" s="7"/>
      <c r="N34" s="7"/>
      <c r="O34" s="7"/>
      <c r="P34" s="7"/>
      <c r="Q34" s="7"/>
      <c r="R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</row>
    <row r="35" spans="1:34">
      <c r="A35" t="s">
        <v>3</v>
      </c>
      <c r="L35" s="4" t="s">
        <v>38</v>
      </c>
      <c r="M35" s="7" cm="1">
        <f t="array" ref="M35:Q35">(B43:F43-B36:F36)/B43:F43</f>
        <v>0.470534904805077</v>
      </c>
      <c r="N35" s="7">
        <v>0.477231329690346</v>
      </c>
      <c r="O35" s="7">
        <v>0.476669716376944</v>
      </c>
      <c r="P35" s="7">
        <v>0.430139720558882</v>
      </c>
      <c r="Q35" s="7">
        <v>0.476146788990826</v>
      </c>
      <c r="R35" s="21" t="s">
        <v>39</v>
      </c>
      <c r="S35" s="7" cm="1">
        <f t="array" ref="S35:W35">(B44:F44-B36:F36)/B44:F44</f>
        <v>0.461751152073733</v>
      </c>
      <c r="T35" s="7">
        <v>0.469500924214418</v>
      </c>
      <c r="U35" s="7">
        <v>0.469879518072289</v>
      </c>
      <c r="V35" s="7">
        <v>0.469823584029712</v>
      </c>
      <c r="W35" s="7">
        <v>0.469330855018587</v>
      </c>
      <c r="X35" s="21" t="s">
        <v>40</v>
      </c>
      <c r="Y35" s="7" cm="1">
        <f t="array" ref="Y35:AC35">(B45:F45-B36:F36)/B45:F45</f>
        <v>0.452671040299906</v>
      </c>
      <c r="Z35" s="7">
        <v>0.460018814675447</v>
      </c>
      <c r="AA35" s="7">
        <v>0.461393596986817</v>
      </c>
      <c r="AB35" s="7">
        <v>0.462335216572505</v>
      </c>
      <c r="AC35" s="7">
        <v>0.462335216572505</v>
      </c>
      <c r="AD35" s="7"/>
      <c r="AE35" s="7"/>
      <c r="AF35" s="7"/>
      <c r="AG35" s="7"/>
      <c r="AH35" s="7"/>
    </row>
    <row r="36" spans="1:34">
      <c r="A36">
        <v>1</v>
      </c>
      <c r="B36">
        <v>0.584</v>
      </c>
      <c r="C36">
        <v>0.574</v>
      </c>
      <c r="D36">
        <v>0.572</v>
      </c>
      <c r="E36">
        <v>0.571</v>
      </c>
      <c r="F36">
        <v>0.571</v>
      </c>
      <c r="H36" s="7">
        <f>AVERAGE(M35:O35,Q35)</f>
        <v>0.475145684965798</v>
      </c>
      <c r="I36" s="7">
        <f>AVERAGE(S35:W35)</f>
        <v>0.468057206681748</v>
      </c>
      <c r="J36" s="7">
        <f>AVERAGE(Z35:AC35)</f>
        <v>0.461520711201818</v>
      </c>
      <c r="M36" s="7" cm="1">
        <f t="array" ref="M36:Q36">(B43:F43-B37:F37)/B43:F43</f>
        <v>0.589301903898459</v>
      </c>
      <c r="N36" s="7">
        <v>0.591074681238616</v>
      </c>
      <c r="O36" s="7">
        <v>0.589204025617566</v>
      </c>
      <c r="P36" s="7">
        <v>0.552894211576846</v>
      </c>
      <c r="Q36" s="7">
        <v>0.588990825688073</v>
      </c>
      <c r="R36" s="7"/>
      <c r="S36" s="7" cm="1">
        <f t="array" ref="S36:W36">(B44:F44-B37:F37)/B44:F44</f>
        <v>0.582488479262673</v>
      </c>
      <c r="T36" s="7">
        <v>0.585027726432532</v>
      </c>
      <c r="U36" s="7">
        <v>0.583873957367933</v>
      </c>
      <c r="V36" s="7">
        <v>0.584029712163417</v>
      </c>
      <c r="W36" s="7">
        <v>0.58364312267658</v>
      </c>
      <c r="X36" s="7"/>
      <c r="Y36" s="7" cm="1">
        <f t="array" ref="Y36:AC36">(B45:F45-B37:F37)/B45:F45</f>
        <v>0.575445173383318</v>
      </c>
      <c r="Z36" s="7">
        <v>0.57761053621825</v>
      </c>
      <c r="AA36" s="7">
        <v>0.577212806026365</v>
      </c>
      <c r="AB36" s="7">
        <v>0.578154425612053</v>
      </c>
      <c r="AC36" s="7">
        <v>0.578154425612053</v>
      </c>
      <c r="AD36" s="7"/>
      <c r="AE36" s="7"/>
      <c r="AF36" s="7"/>
      <c r="AG36" s="7"/>
      <c r="AH36" s="7"/>
    </row>
    <row r="37" spans="1:34">
      <c r="A37">
        <v>2</v>
      </c>
      <c r="B37">
        <v>0.453</v>
      </c>
      <c r="C37">
        <v>0.449</v>
      </c>
      <c r="D37">
        <v>0.449</v>
      </c>
      <c r="E37">
        <v>0.448</v>
      </c>
      <c r="F37">
        <v>0.448</v>
      </c>
      <c r="H37" s="7">
        <f>AVERAGE(M36:O36,Q36)</f>
        <v>0.589642859110678</v>
      </c>
      <c r="I37" s="7">
        <f>AVERAGE(S36:W36)</f>
        <v>0.583812599580627</v>
      </c>
      <c r="J37" s="7">
        <f>AVERAGE(Y36:AC36)</f>
        <v>0.577315473370408</v>
      </c>
      <c r="M37" s="7" cm="1">
        <f t="array" ref="M37:Q37">(B43:F43-B38:F38)/B43:F43</f>
        <v>0.623753399818676</v>
      </c>
      <c r="N37" s="7">
        <v>0.622040072859745</v>
      </c>
      <c r="O37" s="7">
        <v>0.620311070448307</v>
      </c>
      <c r="P37" s="7">
        <v>0.585828343313373</v>
      </c>
      <c r="Q37" s="7">
        <v>0.619266055045872</v>
      </c>
      <c r="R37" s="7"/>
      <c r="S37" s="7" cm="1">
        <f t="array" ref="S37:W37">(B44:F44-B38:F38)/B44:F44</f>
        <v>0.617511520737327</v>
      </c>
      <c r="T37" s="7">
        <v>0.61645101663586</v>
      </c>
      <c r="U37" s="7">
        <v>0.615384615384615</v>
      </c>
      <c r="V37" s="7">
        <v>0.614670380687094</v>
      </c>
      <c r="W37" s="7">
        <v>0.614312267657993</v>
      </c>
      <c r="X37" s="7"/>
      <c r="Y37" s="7" cm="1">
        <f t="array" ref="Y37:AC37">(B45:F45-B38:F38)/B45:F45</f>
        <v>0.611059044048735</v>
      </c>
      <c r="Z37" s="7">
        <v>0.609595484477893</v>
      </c>
      <c r="AA37" s="7">
        <v>0.609227871939736</v>
      </c>
      <c r="AB37" s="7">
        <v>0.609227871939736</v>
      </c>
      <c r="AC37" s="7">
        <v>0.609227871939736</v>
      </c>
      <c r="AD37" s="7"/>
      <c r="AE37" s="7"/>
      <c r="AF37" s="7"/>
      <c r="AG37" s="7"/>
      <c r="AH37" s="7"/>
    </row>
    <row r="38" spans="1:34">
      <c r="A38">
        <v>3</v>
      </c>
      <c r="B38">
        <v>0.415</v>
      </c>
      <c r="C38">
        <v>0.415</v>
      </c>
      <c r="D38">
        <v>0.415</v>
      </c>
      <c r="E38">
        <v>0.415</v>
      </c>
      <c r="F38">
        <v>0.415</v>
      </c>
      <c r="H38" s="7">
        <f>AVERAGE(M37:O37,Q37)</f>
        <v>0.62134264954315</v>
      </c>
      <c r="I38" s="7">
        <f>AVERAGE(S37:W37)</f>
        <v>0.615665960220578</v>
      </c>
      <c r="J38" s="7">
        <f>AVERAGE(Y37:AC37)</f>
        <v>0.609667628869167</v>
      </c>
      <c r="K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</row>
    <row r="39" spans="11:34">
      <c r="K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</row>
    <row r="40" spans="8:34">
      <c r="H40">
        <f>AVERAGE(H36:J38)</f>
        <v>0.555796752615997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</row>
    <row r="41" spans="13:34"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</row>
    <row r="42" spans="1:34">
      <c r="A42" t="s">
        <v>4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</row>
    <row r="43" spans="1:34">
      <c r="A43" t="s">
        <v>8</v>
      </c>
      <c r="B43">
        <v>1.103</v>
      </c>
      <c r="C43">
        <v>1.098</v>
      </c>
      <c r="D43">
        <v>1.093</v>
      </c>
      <c r="E43">
        <v>1.002</v>
      </c>
      <c r="F43">
        <v>1.09</v>
      </c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</row>
    <row r="44" spans="1:34">
      <c r="A44" t="s">
        <v>11</v>
      </c>
      <c r="B44">
        <v>1.085</v>
      </c>
      <c r="C44">
        <v>1.082</v>
      </c>
      <c r="D44">
        <v>1.079</v>
      </c>
      <c r="E44">
        <v>1.077</v>
      </c>
      <c r="F44">
        <v>1.076</v>
      </c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</row>
    <row r="45" spans="1:34">
      <c r="A45" t="s">
        <v>14</v>
      </c>
      <c r="B45">
        <v>1.067</v>
      </c>
      <c r="C45">
        <v>1.063</v>
      </c>
      <c r="D45">
        <v>1.062</v>
      </c>
      <c r="E45">
        <v>1.062</v>
      </c>
      <c r="F45">
        <v>1.062</v>
      </c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</row>
    <row r="46" spans="13:34"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</row>
    <row r="47" spans="13:34"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</row>
    <row r="48" spans="13:34"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</row>
    <row r="49" spans="13:34"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</row>
    <row r="50" spans="13:34"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</row>
    <row r="51" spans="13:34"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</row>
    <row r="52" spans="13:34"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70"/>
  <sheetViews>
    <sheetView zoomScale="85" zoomScaleNormal="85" topLeftCell="A11" workbookViewId="0">
      <selection activeCell="D22" sqref="D22"/>
    </sheetView>
  </sheetViews>
  <sheetFormatPr defaultColWidth="8.88888888888889" defaultRowHeight="14.4"/>
  <cols>
    <col min="1" max="1" width="20.4444444444444" customWidth="1"/>
    <col min="5" max="5" width="8.88888888888889" style="1"/>
    <col min="6" max="6" width="13.8888888888889" customWidth="1"/>
    <col min="7" max="7" width="13.1111111111111" style="3" customWidth="1"/>
    <col min="8" max="9" width="12.8888888888889" style="3"/>
    <col min="11" max="13" width="12.8888888888889"/>
  </cols>
  <sheetData>
    <row r="1" spans="1:31">
      <c r="A1" s="4" t="s">
        <v>35</v>
      </c>
      <c r="B1" s="5" t="s">
        <v>34</v>
      </c>
      <c r="C1" t="s">
        <v>36</v>
      </c>
      <c r="D1" t="s">
        <v>37</v>
      </c>
      <c r="E1" s="1" t="s">
        <v>41</v>
      </c>
      <c r="F1" t="s">
        <v>42</v>
      </c>
      <c r="G1" s="6">
        <v>0.1452</v>
      </c>
      <c r="H1" s="6">
        <v>0.1321</v>
      </c>
      <c r="I1" s="6">
        <v>0.1262</v>
      </c>
      <c r="K1" s="6">
        <v>0.1452</v>
      </c>
      <c r="L1" s="6">
        <v>0.1262</v>
      </c>
      <c r="M1" s="6">
        <v>0.1321</v>
      </c>
      <c r="O1" s="6">
        <v>0.1262</v>
      </c>
      <c r="P1" s="6">
        <v>0.1452</v>
      </c>
      <c r="Q1" s="6">
        <v>0.1321</v>
      </c>
      <c r="S1" s="6">
        <v>0.1262</v>
      </c>
      <c r="T1" s="6">
        <v>0.1321</v>
      </c>
      <c r="U1" s="6">
        <v>0.1452</v>
      </c>
      <c r="W1" s="6">
        <v>0.1321</v>
      </c>
      <c r="X1" s="6">
        <v>0.1262</v>
      </c>
      <c r="Y1" s="6">
        <v>0.1452</v>
      </c>
      <c r="AA1" s="6">
        <v>0.1321</v>
      </c>
      <c r="AB1" s="6">
        <v>0.1452</v>
      </c>
      <c r="AC1" s="6">
        <v>0.1262</v>
      </c>
      <c r="AE1" s="6"/>
    </row>
    <row r="2" spans="2:29">
      <c r="B2" s="7">
        <v>0.670642201834862</v>
      </c>
      <c r="C2" s="7">
        <v>0.653667595171773</v>
      </c>
      <c r="D2" s="7">
        <v>0.648775894538606</v>
      </c>
      <c r="E2" s="8">
        <v>0.1262</v>
      </c>
      <c r="F2" s="9">
        <v>322.69599035885</v>
      </c>
      <c r="G2" s="3">
        <f>B2*20/G1/(1-B2)</f>
        <v>280.469931014373</v>
      </c>
      <c r="H2" s="3">
        <f>C2*20/H1/(1-C2)</f>
        <v>285.753136079784</v>
      </c>
      <c r="I2" s="3">
        <f>D2*20/I1/(1-D2)</f>
        <v>292.739300569758</v>
      </c>
      <c r="K2" s="3">
        <v>280.469931014373</v>
      </c>
      <c r="L2" s="3">
        <f>C2*20/0.1262/(1-C2)</f>
        <v>299.112434834702</v>
      </c>
      <c r="M2" s="3">
        <f>D2*20/0.1321/(1-D2)</f>
        <v>279.664645964447</v>
      </c>
      <c r="N2" s="3"/>
      <c r="O2" s="3">
        <f>B2*20/0.1262/(1-B2)</f>
        <v>322.69599035885</v>
      </c>
      <c r="P2" s="3">
        <f>C2*20/0.1452/(1-C2)</f>
        <v>259.972377934844</v>
      </c>
      <c r="Q2" s="3">
        <v>279.664645964447</v>
      </c>
      <c r="R2" s="3"/>
      <c r="S2" s="11">
        <v>322.69599035885</v>
      </c>
      <c r="T2" s="3">
        <v>285.753136079784</v>
      </c>
      <c r="U2" s="3">
        <f>D2*20/0.1452/(1-D2)</f>
        <v>254.433193745892</v>
      </c>
      <c r="V2" s="3"/>
      <c r="W2" s="3">
        <f>B2*20/0.1321/(1-B2)</f>
        <v>308.28337610361</v>
      </c>
      <c r="X2" s="3">
        <v>299.112434834702</v>
      </c>
      <c r="Y2" s="3">
        <v>254.433193745892</v>
      </c>
      <c r="Z2" s="3"/>
      <c r="AA2" s="3">
        <v>308.28337610361</v>
      </c>
      <c r="AB2" s="3">
        <v>259.972377934844</v>
      </c>
      <c r="AC2" s="3">
        <v>292.739300569758</v>
      </c>
    </row>
    <row r="3" spans="2:29">
      <c r="B3" s="7">
        <v>0.668</v>
      </c>
      <c r="C3" s="7">
        <v>0.665738161559889</v>
      </c>
      <c r="D3" s="7">
        <v>0.66195856873823</v>
      </c>
      <c r="E3" s="8">
        <v>0.1245</v>
      </c>
      <c r="F3" s="9">
        <v>318.866591564356</v>
      </c>
      <c r="G3" s="3">
        <f>B3*20/G1/(1-B3)</f>
        <v>277.141624348634</v>
      </c>
      <c r="H3" s="3">
        <f>C3*20/H1/(1-C3)</f>
        <v>301.539237951047</v>
      </c>
      <c r="I3" s="3">
        <f>D3*20/I1/(1-D3)</f>
        <v>310.335542027732</v>
      </c>
      <c r="K3" s="3">
        <v>277.141624348634</v>
      </c>
      <c r="L3" s="3">
        <f t="shared" ref="L3:L13" si="0">C3*20/0.1262/(1-C3)</f>
        <v>315.636555731643</v>
      </c>
      <c r="M3" s="3">
        <f t="shared" ref="M3:M13" si="1">D3*20/0.1321/(1-D3)</f>
        <v>296.474984132473</v>
      </c>
      <c r="N3" s="3"/>
      <c r="O3" s="3">
        <f t="shared" ref="O3:O13" si="2">B3*20/0.1262/(1-B3)</f>
        <v>318.866591564356</v>
      </c>
      <c r="P3" s="3">
        <f t="shared" ref="P3:P13" si="3">C3*20/0.1452/(1-C3)</f>
        <v>274.334251606979</v>
      </c>
      <c r="Q3" s="3">
        <v>296.474984132473</v>
      </c>
      <c r="R3" s="3"/>
      <c r="S3" s="11">
        <v>318.866591564356</v>
      </c>
      <c r="T3" s="3">
        <v>301.539237951047</v>
      </c>
      <c r="U3" s="3">
        <f t="shared" ref="U3:U13" si="4">D3*20/0.1452/(1-D3)</f>
        <v>269.726896721072</v>
      </c>
      <c r="V3" s="3"/>
      <c r="W3" s="3">
        <f t="shared" ref="W3:W13" si="5">B3*20/0.1321/(1-B3)</f>
        <v>304.625010260573</v>
      </c>
      <c r="X3" s="3">
        <v>315.636555731643</v>
      </c>
      <c r="Y3" s="3">
        <v>269.726896721072</v>
      </c>
      <c r="Z3" s="3"/>
      <c r="AA3" s="3">
        <v>304.625010260573</v>
      </c>
      <c r="AB3" s="3">
        <v>274.334251606979</v>
      </c>
      <c r="AC3" s="3">
        <v>310.335542027732</v>
      </c>
    </row>
    <row r="4" spans="2:29">
      <c r="B4" s="7">
        <v>0.685</v>
      </c>
      <c r="C4" s="7">
        <v>0.680259499536608</v>
      </c>
      <c r="D4" s="7">
        <v>0.673258003766478</v>
      </c>
      <c r="E4" s="8">
        <v>0.1432</v>
      </c>
      <c r="F4" s="10">
        <v>322.109951837102</v>
      </c>
      <c r="G4" s="11">
        <f>B4*20/G1/(1-B4)</f>
        <v>299.532117713936</v>
      </c>
      <c r="H4" s="3">
        <f>C4*20/H1/(1-C4)</f>
        <v>322.109951837102</v>
      </c>
      <c r="I4" s="3">
        <f>D4*20/I1/(1-D4)</f>
        <v>326.548135021945</v>
      </c>
      <c r="K4" s="3">
        <v>299.532117713936</v>
      </c>
      <c r="L4" s="3">
        <f t="shared" si="0"/>
        <v>337.168974942006</v>
      </c>
      <c r="M4" s="3">
        <f t="shared" si="1"/>
        <v>311.963471913471</v>
      </c>
      <c r="N4" s="3"/>
      <c r="O4" s="3">
        <f t="shared" si="2"/>
        <v>344.628078384021</v>
      </c>
      <c r="P4" s="3">
        <f t="shared" si="3"/>
        <v>293.049067752625</v>
      </c>
      <c r="Q4" s="3">
        <v>311.963471913471</v>
      </c>
      <c r="R4" s="3"/>
      <c r="S4" s="19">
        <v>344.628078384021</v>
      </c>
      <c r="T4" s="3">
        <v>322.109951837102</v>
      </c>
      <c r="U4" s="3">
        <f t="shared" si="4"/>
        <v>283.818007160947</v>
      </c>
      <c r="V4" s="3"/>
      <c r="W4" s="3">
        <f t="shared" si="5"/>
        <v>329.235908342646</v>
      </c>
      <c r="X4" s="3">
        <v>337.168974942006</v>
      </c>
      <c r="Y4" s="3">
        <v>283.818007160947</v>
      </c>
      <c r="Z4" s="3"/>
      <c r="AA4" s="3">
        <v>329.235908342646</v>
      </c>
      <c r="AB4" s="3">
        <v>293.049067752625</v>
      </c>
      <c r="AC4" s="3">
        <v>326.548135021945</v>
      </c>
    </row>
    <row r="5" spans="2:29">
      <c r="B5" s="7">
        <v>0.619</v>
      </c>
      <c r="C5" s="7">
        <v>0.61652739090065</v>
      </c>
      <c r="D5" s="7">
        <v>0.612052730696799</v>
      </c>
      <c r="E5" s="12">
        <v>0.1236</v>
      </c>
      <c r="F5" s="9">
        <v>257.475739462836</v>
      </c>
      <c r="G5" s="3">
        <f>B5*20/G1/(1-B5)</f>
        <v>223.784010469766</v>
      </c>
      <c r="H5" s="3">
        <f>C5*20/H1/(1-C5)</f>
        <v>243.413805301949</v>
      </c>
      <c r="I5" s="3">
        <f>D5*20/I1/(1-D5)</f>
        <v>250.026925976644</v>
      </c>
      <c r="K5" s="3">
        <v>223.784010469766</v>
      </c>
      <c r="L5" s="3">
        <f t="shared" si="0"/>
        <v>254.793690018918</v>
      </c>
      <c r="M5" s="3">
        <f t="shared" si="1"/>
        <v>238.859939880791</v>
      </c>
      <c r="N5" s="3"/>
      <c r="O5" s="3">
        <f t="shared" si="2"/>
        <v>257.475739462836</v>
      </c>
      <c r="P5" s="3">
        <f t="shared" si="3"/>
        <v>221.452917909004</v>
      </c>
      <c r="Q5" s="3">
        <v>238.859939880791</v>
      </c>
      <c r="R5" s="3"/>
      <c r="S5" s="11">
        <v>257.475739462836</v>
      </c>
      <c r="T5" s="3">
        <v>243.413805301949</v>
      </c>
      <c r="U5" s="3">
        <f t="shared" si="4"/>
        <v>217.309903982455</v>
      </c>
      <c r="V5" s="3"/>
      <c r="W5" s="3">
        <f t="shared" si="5"/>
        <v>245.976066012188</v>
      </c>
      <c r="X5" s="3">
        <v>254.793690018918</v>
      </c>
      <c r="Y5" s="3">
        <v>217.309903982455</v>
      </c>
      <c r="Z5" s="3"/>
      <c r="AA5" s="3">
        <v>245.976066012188</v>
      </c>
      <c r="AB5" s="3">
        <v>221.452917909004</v>
      </c>
      <c r="AC5" s="3">
        <v>250.026925976644</v>
      </c>
    </row>
    <row r="6" spans="2:29">
      <c r="B6" s="7">
        <v>0.684354986276304</v>
      </c>
      <c r="C6" s="7">
        <v>0.6803</v>
      </c>
      <c r="D6" s="7">
        <v>0.676082862523541</v>
      </c>
      <c r="E6" s="12">
        <v>0.1448</v>
      </c>
      <c r="F6" s="13">
        <v>287.49</v>
      </c>
      <c r="G6" s="3">
        <f>B6*20/G1/(1-B6)</f>
        <v>298.638559508125</v>
      </c>
      <c r="H6" s="3">
        <f>C6*20/H1/(1-C6)</f>
        <v>322.169937420041</v>
      </c>
      <c r="I6" s="3">
        <f>D6*20/I1/(1-D6)</f>
        <v>330.778019385988</v>
      </c>
      <c r="K6" s="3">
        <v>298.638559508125</v>
      </c>
      <c r="L6" s="3">
        <f t="shared" si="0"/>
        <v>337.231764922245</v>
      </c>
      <c r="M6" s="3">
        <f t="shared" si="1"/>
        <v>316.004436385402</v>
      </c>
      <c r="N6" s="3"/>
      <c r="O6" s="3">
        <f t="shared" si="2"/>
        <v>343.599990812834</v>
      </c>
      <c r="P6" s="3">
        <f t="shared" si="3"/>
        <v>293.103641413136</v>
      </c>
      <c r="Q6" s="3">
        <v>316.004436385402</v>
      </c>
      <c r="R6" s="3"/>
      <c r="S6" s="19">
        <v>343.599990812834</v>
      </c>
      <c r="T6" s="3">
        <v>322.169937420041</v>
      </c>
      <c r="U6" s="11">
        <f t="shared" si="4"/>
        <v>287.494394259722</v>
      </c>
      <c r="V6" s="3"/>
      <c r="W6" s="3">
        <f t="shared" si="5"/>
        <v>328.253738384404</v>
      </c>
      <c r="X6" s="3">
        <v>337.231764922245</v>
      </c>
      <c r="Y6" s="3">
        <v>287.494394259722</v>
      </c>
      <c r="Z6" s="3"/>
      <c r="AA6" s="3">
        <v>328.253738384404</v>
      </c>
      <c r="AB6" s="3">
        <v>293.103641413136</v>
      </c>
      <c r="AC6" s="3">
        <v>330.778019385988</v>
      </c>
    </row>
    <row r="7" spans="1:29">
      <c r="A7" t="s">
        <v>0</v>
      </c>
      <c r="B7" s="7">
        <v>0.6842</v>
      </c>
      <c r="C7" s="7">
        <v>0.686746987951807</v>
      </c>
      <c r="D7" s="7">
        <v>0.681732580037665</v>
      </c>
      <c r="E7" s="12">
        <v>0.1421</v>
      </c>
      <c r="F7" s="10">
        <v>295.04</v>
      </c>
      <c r="G7" s="3">
        <f>B7*20/G1/(1-B7)</f>
        <v>298.424395954478</v>
      </c>
      <c r="H7" s="3">
        <f>C7*20/0.1321/(1-C7)</f>
        <v>331.916380364526</v>
      </c>
      <c r="I7" s="3">
        <f>D7*20/I1/(1-D7)</f>
        <v>339.463048228134</v>
      </c>
      <c r="K7" s="3">
        <v>298.424395954478</v>
      </c>
      <c r="L7" s="3">
        <f t="shared" si="0"/>
        <v>347.433865658905</v>
      </c>
      <c r="M7" s="3">
        <f t="shared" si="1"/>
        <v>324.30156462067</v>
      </c>
      <c r="N7" s="3"/>
      <c r="O7" s="3">
        <f t="shared" si="2"/>
        <v>343.353583934947</v>
      </c>
      <c r="P7" s="3">
        <f t="shared" si="3"/>
        <v>301.970756516211</v>
      </c>
      <c r="Q7" s="3">
        <v>324.30156462067</v>
      </c>
      <c r="R7" s="3"/>
      <c r="S7" s="19">
        <v>343.353583934947</v>
      </c>
      <c r="T7" s="3">
        <v>331.916380364526</v>
      </c>
      <c r="U7" s="11">
        <f t="shared" si="4"/>
        <v>295.04295238561</v>
      </c>
      <c r="V7" s="3"/>
      <c r="W7" s="3">
        <f t="shared" si="5"/>
        <v>328.018336809919</v>
      </c>
      <c r="X7" s="3">
        <v>347.433865658905</v>
      </c>
      <c r="Y7" s="3">
        <v>295.04295238561</v>
      </c>
      <c r="Z7" s="3"/>
      <c r="AA7" s="3">
        <v>328.018336809919</v>
      </c>
      <c r="AB7" s="3">
        <v>301.970756516211</v>
      </c>
      <c r="AC7" s="3">
        <v>339.463048228134</v>
      </c>
    </row>
    <row r="8" spans="2:29">
      <c r="B8" s="7">
        <v>0.614754098360656</v>
      </c>
      <c r="C8" s="7">
        <v>0.609099350046425</v>
      </c>
      <c r="D8" s="7">
        <v>0.603578154425612</v>
      </c>
      <c r="E8" s="14">
        <v>0.1371</v>
      </c>
      <c r="F8" s="10">
        <v>230.517081099937</v>
      </c>
      <c r="G8" s="3">
        <f>B8*20/0.1452/(1-B8)</f>
        <v>219.799542816951</v>
      </c>
      <c r="H8" s="3">
        <f t="shared" ref="H8:H13" si="6">C8*20/0.1321/(1-C8)</f>
        <v>235.911396570294</v>
      </c>
      <c r="I8" s="3">
        <f>D8*20/0.1262/(1-D8)</f>
        <v>241.29402863155</v>
      </c>
      <c r="K8" s="3">
        <v>219.799542816951</v>
      </c>
      <c r="L8" s="3">
        <f t="shared" si="0"/>
        <v>246.940534761774</v>
      </c>
      <c r="M8" s="11">
        <f t="shared" si="1"/>
        <v>230.517081099937</v>
      </c>
      <c r="N8" s="3"/>
      <c r="O8" s="3">
        <f t="shared" si="2"/>
        <v>252.891391577031</v>
      </c>
      <c r="P8" s="3">
        <f t="shared" si="3"/>
        <v>214.627379386611</v>
      </c>
      <c r="Q8" s="3">
        <v>230.517081099937</v>
      </c>
      <c r="R8" s="3"/>
      <c r="S8" s="19">
        <v>252.891391577031</v>
      </c>
      <c r="T8" s="3">
        <v>235.911396570294</v>
      </c>
      <c r="U8" s="3">
        <f t="shared" si="4"/>
        <v>209.719741138441</v>
      </c>
      <c r="V8" s="3"/>
      <c r="W8" s="3">
        <f t="shared" si="5"/>
        <v>241.596469470259</v>
      </c>
      <c r="X8" s="3">
        <v>246.940534761774</v>
      </c>
      <c r="Y8" s="3">
        <v>209.719741138441</v>
      </c>
      <c r="Z8" s="3"/>
      <c r="AA8" s="3">
        <v>241.596469470259</v>
      </c>
      <c r="AB8" s="3">
        <v>214.627379386611</v>
      </c>
      <c r="AC8" s="3">
        <v>241.29402863155</v>
      </c>
    </row>
    <row r="9" spans="2:29">
      <c r="B9" s="15">
        <v>0.611926605504587</v>
      </c>
      <c r="C9" s="15">
        <v>0.602316960148285</v>
      </c>
      <c r="D9" s="7">
        <v>0.6032</v>
      </c>
      <c r="E9" s="14">
        <v>0.1307</v>
      </c>
      <c r="F9" s="16">
        <v>229.305884841448</v>
      </c>
      <c r="G9" s="3">
        <f>B9*20/0.1452/(1-B9)</f>
        <v>217.19451119838</v>
      </c>
      <c r="H9" s="3">
        <f t="shared" si="6"/>
        <v>229.305884841448</v>
      </c>
      <c r="I9" s="3">
        <f>D9*20/0.1262/(1-D9)</f>
        <v>240.91304125556</v>
      </c>
      <c r="K9" s="3">
        <v>217.19</v>
      </c>
      <c r="L9" s="3">
        <f t="shared" si="0"/>
        <v>240.026207508362</v>
      </c>
      <c r="M9" s="3">
        <f t="shared" si="1"/>
        <v>230.153109814168</v>
      </c>
      <c r="N9" s="3"/>
      <c r="O9" s="3">
        <f t="shared" si="2"/>
        <v>249.894160269451</v>
      </c>
      <c r="P9" s="3">
        <f t="shared" si="3"/>
        <v>208.617819473521</v>
      </c>
      <c r="Q9" s="3">
        <v>230.153109814168</v>
      </c>
      <c r="R9" s="3"/>
      <c r="S9" s="19">
        <v>249.89</v>
      </c>
      <c r="T9" s="11">
        <v>229.305884841448</v>
      </c>
      <c r="U9" s="3">
        <f t="shared" si="4"/>
        <v>209.388607482449</v>
      </c>
      <c r="V9" s="3"/>
      <c r="W9" s="3">
        <f t="shared" si="5"/>
        <v>238.733103906167</v>
      </c>
      <c r="X9" s="3">
        <v>240.03</v>
      </c>
      <c r="Y9" s="3">
        <v>209.388607482449</v>
      </c>
      <c r="Z9" s="3"/>
      <c r="AA9" s="3">
        <v>158.799724519474</v>
      </c>
      <c r="AB9" s="3">
        <v>139.023551923501</v>
      </c>
      <c r="AC9" s="3">
        <v>240.91304125556</v>
      </c>
    </row>
    <row r="10" spans="2:29">
      <c r="B10" s="7">
        <v>0.6374</v>
      </c>
      <c r="C10" s="7">
        <v>0.6231</v>
      </c>
      <c r="D10" s="7">
        <v>0.6186</v>
      </c>
      <c r="E10" s="14">
        <v>0.1416</v>
      </c>
      <c r="F10" s="10">
        <v>227.716758506213</v>
      </c>
      <c r="G10" s="3">
        <f>B10*20/0.1452/(1-B10)</f>
        <v>242.129462908684</v>
      </c>
      <c r="H10" s="3">
        <f t="shared" si="6"/>
        <v>250.298814043165</v>
      </c>
      <c r="I10" s="3">
        <f>D10*20/0.1262/(1-D10)</f>
        <v>257.039499982133</v>
      </c>
      <c r="K10" s="3">
        <v>242.129462908684</v>
      </c>
      <c r="L10" s="3">
        <f t="shared" si="0"/>
        <v>262.000581102236</v>
      </c>
      <c r="M10" s="3">
        <f t="shared" si="1"/>
        <v>245.559310353862</v>
      </c>
      <c r="N10" s="3"/>
      <c r="O10" s="3">
        <f t="shared" si="2"/>
        <v>278.583185533604</v>
      </c>
      <c r="P10" s="11">
        <f t="shared" si="3"/>
        <v>227.716758506213</v>
      </c>
      <c r="Q10" s="3">
        <v>245.559310353862</v>
      </c>
      <c r="R10" s="3"/>
      <c r="S10" s="19">
        <v>278.583185533604</v>
      </c>
      <c r="T10" s="3">
        <v>250.298814043165</v>
      </c>
      <c r="U10" s="3">
        <f t="shared" si="4"/>
        <v>223.404854667666</v>
      </c>
      <c r="V10" s="3"/>
      <c r="W10" s="3">
        <f t="shared" si="5"/>
        <v>266.140787390923</v>
      </c>
      <c r="X10" s="3">
        <v>262.000581102236</v>
      </c>
      <c r="Y10" s="3">
        <v>223.404854667666</v>
      </c>
      <c r="Z10" s="3"/>
      <c r="AA10" s="3">
        <v>266.140787390923</v>
      </c>
      <c r="AB10" s="3">
        <v>227.716758506213</v>
      </c>
      <c r="AC10" s="3">
        <v>257.039499982133</v>
      </c>
    </row>
    <row r="11" spans="2:29">
      <c r="B11" s="7">
        <v>0.6308</v>
      </c>
      <c r="C11" s="7">
        <v>0.6146</v>
      </c>
      <c r="D11" s="7">
        <v>0.6146</v>
      </c>
      <c r="E11" s="17">
        <v>0.1435</v>
      </c>
      <c r="F11" s="10">
        <v>219.656583764712</v>
      </c>
      <c r="G11" s="3">
        <f>B11*20/0.1452/(1-B11)</f>
        <v>235.338711651132</v>
      </c>
      <c r="H11" s="3">
        <f t="shared" si="6"/>
        <v>241.439333555157</v>
      </c>
      <c r="I11" s="3">
        <f>D11*20/0.1262/(1-D11)</f>
        <v>252.726909371127</v>
      </c>
      <c r="K11" s="3">
        <v>235.338711651132</v>
      </c>
      <c r="L11" s="3">
        <f t="shared" si="0"/>
        <v>252.726909371127</v>
      </c>
      <c r="M11" s="3">
        <f t="shared" si="1"/>
        <v>241.439333555157</v>
      </c>
      <c r="N11" s="3"/>
      <c r="O11" s="3">
        <f t="shared" si="2"/>
        <v>270.770054926659</v>
      </c>
      <c r="P11" s="11">
        <f t="shared" si="3"/>
        <v>219.656583764712</v>
      </c>
      <c r="Q11" s="3">
        <v>241.439333555157</v>
      </c>
      <c r="R11" s="3"/>
      <c r="S11" s="19">
        <v>270.770054926659</v>
      </c>
      <c r="T11" s="3">
        <v>241.439333555157</v>
      </c>
      <c r="U11" s="3">
        <f t="shared" si="4"/>
        <v>219.656583764712</v>
      </c>
      <c r="V11" s="3"/>
      <c r="W11" s="3">
        <f t="shared" si="5"/>
        <v>258.676615683152</v>
      </c>
      <c r="X11" s="3">
        <v>252.726909371127</v>
      </c>
      <c r="Y11" s="3">
        <v>219.656583764712</v>
      </c>
      <c r="Z11" s="3"/>
      <c r="AA11" s="3">
        <v>258.676615683152</v>
      </c>
      <c r="AB11" s="3">
        <v>219.656583764712</v>
      </c>
      <c r="AC11" s="3">
        <v>252.726909371127</v>
      </c>
    </row>
    <row r="12" spans="2:29">
      <c r="B12" s="7">
        <v>0.6109</v>
      </c>
      <c r="C12" s="7">
        <v>0.6135</v>
      </c>
      <c r="D12" s="7">
        <v>0.606403013182674</v>
      </c>
      <c r="E12" s="17">
        <v>0.1429</v>
      </c>
      <c r="F12" s="10">
        <v>216.258045514371</v>
      </c>
      <c r="G12" s="11">
        <f>B12*20/0.1452/(1-B12)</f>
        <v>216.258045514371</v>
      </c>
      <c r="H12" s="3">
        <f t="shared" si="6"/>
        <v>240.321290174737</v>
      </c>
      <c r="I12" s="3">
        <f>D12*20/0.1262/(1-D12)</f>
        <v>244.163210215425</v>
      </c>
      <c r="K12" s="3">
        <v>216.258045514371</v>
      </c>
      <c r="L12" s="3">
        <f t="shared" si="0"/>
        <v>251.556596133778</v>
      </c>
      <c r="M12" s="3">
        <f t="shared" si="1"/>
        <v>233.258116042291</v>
      </c>
      <c r="N12" s="3"/>
      <c r="O12" s="3">
        <f t="shared" si="2"/>
        <v>248.816705298627</v>
      </c>
      <c r="P12" s="3">
        <f t="shared" si="3"/>
        <v>218.639410689275</v>
      </c>
      <c r="Q12" s="3">
        <v>233.258116042291</v>
      </c>
      <c r="R12" s="3"/>
      <c r="S12" s="19">
        <v>248.816705298627</v>
      </c>
      <c r="T12" s="3">
        <v>240.321290174737</v>
      </c>
      <c r="U12" s="3">
        <f t="shared" si="4"/>
        <v>212.213478851148</v>
      </c>
      <c r="V12" s="3"/>
      <c r="W12" s="3">
        <f t="shared" si="5"/>
        <v>237.703771451073</v>
      </c>
      <c r="X12" s="3">
        <v>251.556596133778</v>
      </c>
      <c r="Y12" s="3">
        <v>212.213478851148</v>
      </c>
      <c r="Z12" s="3"/>
      <c r="AA12" s="3">
        <v>237.703771451073</v>
      </c>
      <c r="AB12" s="3">
        <v>218.639410689275</v>
      </c>
      <c r="AC12" s="3">
        <v>244.163210215425</v>
      </c>
    </row>
    <row r="13" spans="2:29">
      <c r="B13" s="7">
        <v>0.6155</v>
      </c>
      <c r="C13" s="7">
        <v>0.618164967562558</v>
      </c>
      <c r="D13" s="7">
        <v>0.6114</v>
      </c>
      <c r="E13" s="17">
        <v>0.1433</v>
      </c>
      <c r="F13" s="3">
        <v>220.49</v>
      </c>
      <c r="G13" s="11">
        <f>B13*20/0.1452/(1-B13)</f>
        <v>220.493145188736</v>
      </c>
      <c r="H13" s="3">
        <f t="shared" si="6"/>
        <v>245.10704600075</v>
      </c>
      <c r="I13" s="3">
        <f>D13*20/0.1262/(1-D13)</f>
        <v>249.340759995857</v>
      </c>
      <c r="K13" s="3">
        <v>220.493145188736</v>
      </c>
      <c r="L13" s="3">
        <f t="shared" si="0"/>
        <v>256.566091732956</v>
      </c>
      <c r="M13" s="3">
        <f t="shared" si="1"/>
        <v>238.204420223142</v>
      </c>
      <c r="N13" s="3"/>
      <c r="O13" s="3">
        <f t="shared" si="2"/>
        <v>253.689419028561</v>
      </c>
      <c r="P13" s="3">
        <f t="shared" si="3"/>
        <v>222.993393778919</v>
      </c>
      <c r="Q13" s="3">
        <v>238.204420223142</v>
      </c>
      <c r="R13" s="3"/>
      <c r="S13" s="19">
        <v>253.689419028561</v>
      </c>
      <c r="T13" s="3">
        <v>245.10704600075</v>
      </c>
      <c r="U13" s="3">
        <f t="shared" si="4"/>
        <v>216.713525561137</v>
      </c>
      <c r="V13" s="3"/>
      <c r="W13" s="3">
        <f t="shared" si="5"/>
        <v>242.358854514795</v>
      </c>
      <c r="X13" s="3">
        <v>256.566091732956</v>
      </c>
      <c r="Y13" s="3">
        <v>216.713525561137</v>
      </c>
      <c r="Z13" s="3"/>
      <c r="AA13" s="3">
        <v>242.358854514795</v>
      </c>
      <c r="AB13" s="3">
        <v>222.993393778919</v>
      </c>
      <c r="AC13" s="3">
        <v>249.340759995857</v>
      </c>
    </row>
    <row r="14" spans="11:29"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1:29"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1:29"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8:29">
      <c r="H17" s="18">
        <v>0.1452</v>
      </c>
      <c r="K17" s="3"/>
      <c r="L17" s="18">
        <v>0.1262</v>
      </c>
      <c r="M17" s="3"/>
      <c r="N17" s="3"/>
      <c r="O17" s="3"/>
      <c r="P17" s="18">
        <v>0.1321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2:29">
      <c r="B18" s="7">
        <v>0.587984825434734</v>
      </c>
      <c r="C18" s="7">
        <v>0.572554272364548</v>
      </c>
      <c r="D18" s="7">
        <v>0.566015239532787</v>
      </c>
      <c r="E18" s="8">
        <v>0.1341</v>
      </c>
      <c r="F18" s="3">
        <v>197.46</v>
      </c>
      <c r="G18" s="3">
        <f>B18*20/0.1452/(1-B18)</f>
        <v>196.569569220698</v>
      </c>
      <c r="H18" s="3">
        <f>C18*20/0.1452/(1-C18)</f>
        <v>184.50114188733</v>
      </c>
      <c r="I18" s="19">
        <f>D18*20/0.1452/(1-D18)</f>
        <v>179.645781875275</v>
      </c>
      <c r="K18" s="3">
        <f>B18*20/0.1262/(1-B18)</f>
        <v>226.164036852974</v>
      </c>
      <c r="L18" s="3">
        <f>C18*20/0.1262/(1-C18)</f>
        <v>212.278651363236</v>
      </c>
      <c r="M18" s="3">
        <f>D18*20/0.1262/(1-D18)</f>
        <v>206.69229420198</v>
      </c>
      <c r="N18" s="3"/>
      <c r="O18" s="19">
        <f>B18*20/0.1321/(1-B18)</f>
        <v>216.062842171426</v>
      </c>
      <c r="P18" s="3">
        <f>C18*20/0.1321/(1-C18)</f>
        <v>202.79762151431</v>
      </c>
      <c r="Q18" s="11">
        <f>D18*20/0.1321/(1-D18)</f>
        <v>197.46076857146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2:29">
      <c r="B19" s="7">
        <v>0.558859878997503</v>
      </c>
      <c r="C19" s="7">
        <v>0.552042762869906</v>
      </c>
      <c r="D19" s="7">
        <v>0.544883539961043</v>
      </c>
      <c r="E19" s="8">
        <v>0.1272</v>
      </c>
      <c r="F19" s="3">
        <v>191.802185942325</v>
      </c>
      <c r="G19" s="3">
        <f t="shared" ref="G19:G29" si="7">B19*20/0.1452/(1-B19)</f>
        <v>174.497718753313</v>
      </c>
      <c r="H19" s="3">
        <f t="shared" ref="H19:H29" si="8">C19*20/0.1452/(1-C19)</f>
        <v>169.745997499362</v>
      </c>
      <c r="I19" s="19">
        <f t="shared" ref="I19:I29" si="9">D19*20/0.1452/(1-D19)</f>
        <v>164.909063472043</v>
      </c>
      <c r="K19" s="3">
        <f t="shared" ref="K19:K29" si="10">B19*20/0.1262/(1-B19)</f>
        <v>200.7691661092</v>
      </c>
      <c r="L19" s="3">
        <f t="shared" ref="L19:L29" si="11">C19*20/0.1262/(1-C19)</f>
        <v>195.302051005605</v>
      </c>
      <c r="M19" s="3">
        <f t="shared" ref="M19:M29" si="12">D19*20/0.1262/(1-D19)</f>
        <v>189.736893947232</v>
      </c>
      <c r="N19" s="3"/>
      <c r="O19" s="11">
        <f t="shared" ref="O19:O29" si="13">B19*20/0.1321/(1-B19)</f>
        <v>191.802185942325</v>
      </c>
      <c r="P19" s="3">
        <f t="shared" ref="P19:P29" si="14">C19*20/0.1321/(1-C19)</f>
        <v>186.579249333136</v>
      </c>
      <c r="Q19" s="19">
        <f t="shared" ref="Q19:Q29" si="15">D19*20/0.1321/(1-D19)</f>
        <v>181.262649630134</v>
      </c>
      <c r="W19" s="3"/>
      <c r="X19" s="3"/>
      <c r="Y19" s="3"/>
      <c r="Z19" s="3"/>
      <c r="AA19" s="3"/>
      <c r="AB19" s="3"/>
      <c r="AC19" s="3"/>
    </row>
    <row r="20" spans="2:29">
      <c r="B20" s="7">
        <v>0.632670036620521</v>
      </c>
      <c r="C20" s="7">
        <v>0.628084272573845</v>
      </c>
      <c r="D20" s="7">
        <v>0.623440968512879</v>
      </c>
      <c r="E20" s="8">
        <v>0.1232</v>
      </c>
      <c r="F20" s="3">
        <v>228.047675026563</v>
      </c>
      <c r="G20" s="3">
        <f t="shared" si="7"/>
        <v>237.238019848916</v>
      </c>
      <c r="H20" s="3">
        <f t="shared" si="8"/>
        <v>232.614484474004</v>
      </c>
      <c r="I20" s="11">
        <f t="shared" si="9"/>
        <v>228.047675026563</v>
      </c>
      <c r="K20" s="3">
        <f t="shared" si="10"/>
        <v>272.955312853111</v>
      </c>
      <c r="L20" s="3">
        <f t="shared" si="11"/>
        <v>267.635682611928</v>
      </c>
      <c r="M20" s="3">
        <f t="shared" si="12"/>
        <v>262.381318651798</v>
      </c>
      <c r="N20" s="3"/>
      <c r="O20" s="3">
        <f t="shared" si="13"/>
        <v>260.764273142034</v>
      </c>
      <c r="P20" s="3">
        <f t="shared" si="14"/>
        <v>255.682234259087</v>
      </c>
      <c r="Q20" s="19">
        <f t="shared" si="15"/>
        <v>250.662546660537</v>
      </c>
      <c r="W20" s="3"/>
      <c r="X20" s="3"/>
      <c r="Y20" s="3"/>
      <c r="Z20" s="3"/>
      <c r="AA20" s="3"/>
      <c r="AB20" s="3"/>
      <c r="AC20" s="3"/>
    </row>
    <row r="21" spans="2:29">
      <c r="B21" s="7">
        <v>0.496779140977074</v>
      </c>
      <c r="C21" s="7">
        <v>0.483546284355527</v>
      </c>
      <c r="D21" s="7">
        <v>0.477983418806185</v>
      </c>
      <c r="E21" s="12">
        <v>0.1236</v>
      </c>
      <c r="F21" s="3">
        <v>156.449924593535</v>
      </c>
      <c r="G21" s="3">
        <f t="shared" si="7"/>
        <v>135.977827022756</v>
      </c>
      <c r="H21" s="3">
        <f t="shared" si="8"/>
        <v>128.964453892483</v>
      </c>
      <c r="I21" s="3">
        <f t="shared" si="9"/>
        <v>126.12230884336</v>
      </c>
      <c r="K21" s="11">
        <f t="shared" si="10"/>
        <v>156.449924593535</v>
      </c>
      <c r="L21" s="3">
        <f t="shared" si="11"/>
        <v>148.380655350146</v>
      </c>
      <c r="M21" s="3">
        <f t="shared" si="12"/>
        <v>145.110612076512</v>
      </c>
      <c r="N21" s="3"/>
      <c r="O21" s="3">
        <f t="shared" si="13"/>
        <v>149.462380648782</v>
      </c>
      <c r="P21" s="3">
        <f t="shared" si="14"/>
        <v>141.753510258808</v>
      </c>
      <c r="Q21" s="19">
        <f t="shared" si="15"/>
        <v>138.629517366055</v>
      </c>
      <c r="W21" s="3"/>
      <c r="X21" s="3"/>
      <c r="Y21" s="3"/>
      <c r="Z21" s="3"/>
      <c r="AA21" s="3"/>
      <c r="AB21" s="3"/>
      <c r="AC21" s="3"/>
    </row>
    <row r="22" spans="1:29">
      <c r="A22" t="s">
        <v>2</v>
      </c>
      <c r="B22" s="7">
        <v>0.526347920791586</v>
      </c>
      <c r="C22" s="7">
        <v>0.50834174609618</v>
      </c>
      <c r="D22" s="7">
        <v>0.501725269124858</v>
      </c>
      <c r="E22" s="12">
        <v>0.1338</v>
      </c>
      <c r="F22" s="3">
        <v>159.576065194619</v>
      </c>
      <c r="G22" s="3">
        <f t="shared" si="7"/>
        <v>153.065333796953</v>
      </c>
      <c r="H22" s="3">
        <f t="shared" si="8"/>
        <v>142.415028527864</v>
      </c>
      <c r="I22" s="3">
        <f t="shared" si="9"/>
        <v>138.69489963885</v>
      </c>
      <c r="K22" s="3">
        <f t="shared" si="10"/>
        <v>176.110035398713</v>
      </c>
      <c r="L22" s="3">
        <f t="shared" si="11"/>
        <v>163.856276879919</v>
      </c>
      <c r="M22" s="11">
        <f t="shared" si="12"/>
        <v>159.576065194619</v>
      </c>
      <c r="N22" s="3"/>
      <c r="O22" s="3">
        <f t="shared" si="13"/>
        <v>168.244409290822</v>
      </c>
      <c r="P22" s="3">
        <f t="shared" si="14"/>
        <v>156.537942030627</v>
      </c>
      <c r="Q22" s="19">
        <f t="shared" si="15"/>
        <v>152.448898013331</v>
      </c>
      <c r="W22" s="3"/>
      <c r="X22" s="3"/>
      <c r="Y22" s="3"/>
      <c r="Z22" s="3"/>
      <c r="AA22" s="3"/>
      <c r="AB22" s="3"/>
      <c r="AC22" s="3"/>
    </row>
    <row r="23" spans="2:29">
      <c r="B23" s="7">
        <v>0.54617137628599</v>
      </c>
      <c r="C23" s="7">
        <v>0.541437899164004</v>
      </c>
      <c r="D23" s="7">
        <v>0.539065844868099</v>
      </c>
      <c r="E23" s="12">
        <v>0.1423</v>
      </c>
      <c r="F23" s="3">
        <v>162.634947130133</v>
      </c>
      <c r="G23" s="3">
        <f t="shared" si="7"/>
        <v>165.767898251148</v>
      </c>
      <c r="H23" s="11">
        <f t="shared" si="8"/>
        <v>162.634947130133</v>
      </c>
      <c r="I23" s="3">
        <f t="shared" si="9"/>
        <v>161.089155483036</v>
      </c>
      <c r="K23" s="3">
        <f t="shared" si="10"/>
        <v>190.725030317485</v>
      </c>
      <c r="L23" s="3">
        <f t="shared" si="11"/>
        <v>187.120398758283</v>
      </c>
      <c r="M23" s="3">
        <f t="shared" si="12"/>
        <v>185.341880951956</v>
      </c>
      <c r="N23" s="3"/>
      <c r="O23" s="3">
        <f t="shared" si="13"/>
        <v>182.206652733283</v>
      </c>
      <c r="P23" s="3">
        <f t="shared" si="14"/>
        <v>178.763015316391</v>
      </c>
      <c r="Q23" s="19">
        <f t="shared" si="15"/>
        <v>177.063931689151</v>
      </c>
      <c r="W23" s="3"/>
      <c r="X23" s="3"/>
      <c r="Y23" s="3"/>
      <c r="Z23" s="3"/>
      <c r="AA23" s="3"/>
      <c r="AB23" s="3"/>
      <c r="AC23" s="3"/>
    </row>
    <row r="24" spans="2:29">
      <c r="B24" s="7">
        <v>0.602914450235115</v>
      </c>
      <c r="C24" s="7">
        <v>0.596962930985482</v>
      </c>
      <c r="D24" s="7">
        <v>0.590670930983732</v>
      </c>
      <c r="E24" s="14">
        <v>0.1271</v>
      </c>
      <c r="F24" s="3">
        <v>198.763387517127</v>
      </c>
      <c r="G24" s="3">
        <f t="shared" si="7"/>
        <v>209.138981699711</v>
      </c>
      <c r="H24" s="3">
        <f t="shared" si="8"/>
        <v>204.016715472023</v>
      </c>
      <c r="I24" s="11">
        <f t="shared" si="9"/>
        <v>198.763387517127</v>
      </c>
      <c r="K24" s="3">
        <f t="shared" si="10"/>
        <v>240.6258331442</v>
      </c>
      <c r="L24" s="3">
        <f t="shared" si="11"/>
        <v>234.73238578873</v>
      </c>
      <c r="M24" s="3">
        <f t="shared" si="12"/>
        <v>228.688144750292</v>
      </c>
      <c r="N24" s="3"/>
      <c r="O24" s="3">
        <f t="shared" si="13"/>
        <v>229.878729317169</v>
      </c>
      <c r="P24" s="3">
        <f t="shared" si="14"/>
        <v>224.248501790596</v>
      </c>
      <c r="Q24" s="19">
        <f t="shared" si="15"/>
        <v>218.474215499522</v>
      </c>
      <c r="W24" s="3"/>
      <c r="X24" s="3"/>
      <c r="Y24" s="3"/>
      <c r="Z24" s="3"/>
      <c r="AA24" s="3"/>
      <c r="AB24" s="3"/>
      <c r="AC24" s="3"/>
    </row>
    <row r="25" spans="2:29">
      <c r="B25" s="7">
        <v>0.570540908566341</v>
      </c>
      <c r="C25" s="7">
        <v>0.561158445186863</v>
      </c>
      <c r="D25" s="7">
        <v>0.554161016078283</v>
      </c>
      <c r="E25" s="14">
        <v>0.1307</v>
      </c>
      <c r="F25" s="3">
        <v>196.982920192674</v>
      </c>
      <c r="G25" s="3">
        <f t="shared" si="7"/>
        <v>182.990425802926</v>
      </c>
      <c r="H25" s="3">
        <f t="shared" si="8"/>
        <v>176.133164306976</v>
      </c>
      <c r="I25" s="3">
        <f t="shared" si="9"/>
        <v>171.206918239087</v>
      </c>
      <c r="K25" s="3">
        <f t="shared" si="10"/>
        <v>210.540489909547</v>
      </c>
      <c r="L25" s="3">
        <f t="shared" si="11"/>
        <v>202.650835636869</v>
      </c>
      <c r="M25" s="11">
        <f t="shared" si="12"/>
        <v>196.982920192674</v>
      </c>
      <c r="N25" s="3"/>
      <c r="O25" s="3">
        <f t="shared" si="13"/>
        <v>201.137091798523</v>
      </c>
      <c r="P25" s="3">
        <f t="shared" si="14"/>
        <v>193.599814211756</v>
      </c>
      <c r="Q25" s="19">
        <f t="shared" si="15"/>
        <v>188.185045634485</v>
      </c>
      <c r="W25" s="3"/>
      <c r="X25" s="3"/>
      <c r="Y25" s="3"/>
      <c r="Z25" s="3"/>
      <c r="AA25" s="3"/>
      <c r="AB25" s="3"/>
      <c r="AC25" s="3"/>
    </row>
    <row r="26" spans="2:29">
      <c r="B26" s="7">
        <v>0.57788705675862</v>
      </c>
      <c r="C26" s="7">
        <v>0.575488944422915</v>
      </c>
      <c r="D26" s="7">
        <v>0.571193704347395</v>
      </c>
      <c r="E26" s="14">
        <v>0.1416</v>
      </c>
      <c r="F26" s="3">
        <v>188.572204247839</v>
      </c>
      <c r="G26" s="11">
        <f t="shared" si="7"/>
        <v>188.572204247839</v>
      </c>
      <c r="H26" s="3">
        <f t="shared" si="8"/>
        <v>186.728822732946</v>
      </c>
      <c r="I26" s="3">
        <f t="shared" si="9"/>
        <v>183.478693242817</v>
      </c>
      <c r="K26" s="3">
        <f t="shared" si="10"/>
        <v>216.96263119482</v>
      </c>
      <c r="L26" s="3">
        <f t="shared" si="11"/>
        <v>214.841719974832</v>
      </c>
      <c r="M26" s="3">
        <f t="shared" si="12"/>
        <v>211.102268295222</v>
      </c>
      <c r="N26" s="3"/>
      <c r="O26" s="3">
        <f t="shared" si="13"/>
        <v>207.272400127072</v>
      </c>
      <c r="P26" s="3">
        <f t="shared" si="14"/>
        <v>205.246215449083</v>
      </c>
      <c r="Q26" s="19">
        <f t="shared" si="15"/>
        <v>201.673779400886</v>
      </c>
      <c r="W26" s="3"/>
      <c r="X26" s="3"/>
      <c r="Y26" s="3"/>
      <c r="Z26" s="3"/>
      <c r="AA26" s="3"/>
      <c r="AB26" s="3"/>
      <c r="AC26" s="3"/>
    </row>
    <row r="27" spans="2:29">
      <c r="B27" s="7">
        <v>0.584229237569666</v>
      </c>
      <c r="C27" s="7">
        <v>0.577138683571215</v>
      </c>
      <c r="D27" s="7">
        <v>0.570538994639976</v>
      </c>
      <c r="E27" s="17">
        <v>0.1435</v>
      </c>
      <c r="F27" s="3">
        <v>222.689624099309</v>
      </c>
      <c r="G27" s="3">
        <f t="shared" si="7"/>
        <v>193.549797254358</v>
      </c>
      <c r="H27" s="3">
        <f t="shared" si="8"/>
        <v>187.994700280664</v>
      </c>
      <c r="I27" s="3">
        <f t="shared" si="9"/>
        <v>182.988996438178</v>
      </c>
      <c r="K27" s="11">
        <f t="shared" si="10"/>
        <v>222.689624099309</v>
      </c>
      <c r="L27" s="3">
        <f t="shared" si="11"/>
        <v>216.298181305486</v>
      </c>
      <c r="M27" s="3">
        <f t="shared" si="12"/>
        <v>210.538845347254</v>
      </c>
      <c r="N27" s="3"/>
      <c r="O27" s="3">
        <f t="shared" si="13"/>
        <v>212.743607580112</v>
      </c>
      <c r="P27" s="3">
        <f t="shared" si="14"/>
        <v>206.637626652175</v>
      </c>
      <c r="Q27" s="19">
        <f t="shared" si="15"/>
        <v>201.135520687536</v>
      </c>
      <c r="W27" s="3"/>
      <c r="X27" s="3"/>
      <c r="Y27" s="3"/>
      <c r="Z27" s="3"/>
      <c r="AA27" s="3"/>
      <c r="AB27" s="3"/>
      <c r="AC27" s="3"/>
    </row>
    <row r="28" spans="2:29">
      <c r="B28" s="7">
        <v>0.600492627573303</v>
      </c>
      <c r="C28" s="7">
        <v>0.594730600754202</v>
      </c>
      <c r="D28" s="7">
        <v>0.588157840169289</v>
      </c>
      <c r="E28" s="17">
        <v>0.1229</v>
      </c>
      <c r="F28" s="3">
        <v>227.567406345797</v>
      </c>
      <c r="G28" s="3">
        <f t="shared" si="7"/>
        <v>207.036187178235</v>
      </c>
      <c r="H28" s="3">
        <f t="shared" si="8"/>
        <v>202.134224008355</v>
      </c>
      <c r="I28" s="3">
        <f t="shared" si="9"/>
        <v>196.710012983229</v>
      </c>
      <c r="K28" s="3">
        <f t="shared" si="10"/>
        <v>238.206453076702</v>
      </c>
      <c r="L28" s="3">
        <f t="shared" si="11"/>
        <v>232.566476434336</v>
      </c>
      <c r="M28" s="3">
        <f t="shared" si="12"/>
        <v>226.325625080546</v>
      </c>
      <c r="N28" s="3"/>
      <c r="O28" s="11">
        <f t="shared" si="13"/>
        <v>227.567406345797</v>
      </c>
      <c r="P28" s="3">
        <f t="shared" si="14"/>
        <v>222.179328735906</v>
      </c>
      <c r="Q28" s="19">
        <f t="shared" si="15"/>
        <v>216.217213362338</v>
      </c>
      <c r="W28" s="3"/>
      <c r="X28" s="3"/>
      <c r="Y28" s="3"/>
      <c r="Z28" s="3"/>
      <c r="AA28" s="3"/>
      <c r="AB28" s="3"/>
      <c r="AC28" s="3"/>
    </row>
    <row r="29" spans="2:29">
      <c r="B29" s="7">
        <v>0.604290967244784</v>
      </c>
      <c r="C29" s="7">
        <v>0.601991823429042</v>
      </c>
      <c r="D29" s="7">
        <v>0.595904796324938</v>
      </c>
      <c r="E29" s="17">
        <v>0.1433</v>
      </c>
      <c r="F29" s="3">
        <v>228.994882160202</v>
      </c>
      <c r="G29" s="3">
        <f t="shared" si="7"/>
        <v>210.34564169497</v>
      </c>
      <c r="H29" s="3">
        <f t="shared" si="8"/>
        <v>208.334875574124</v>
      </c>
      <c r="I29" s="3">
        <f t="shared" si="9"/>
        <v>203.12181315565</v>
      </c>
      <c r="K29" s="3">
        <f t="shared" si="10"/>
        <v>242.014161443024</v>
      </c>
      <c r="L29" s="3">
        <f t="shared" si="11"/>
        <v>239.700665082114</v>
      </c>
      <c r="M29" s="3">
        <f t="shared" si="12"/>
        <v>233.702751744852</v>
      </c>
      <c r="N29" s="3"/>
      <c r="O29" s="3">
        <f t="shared" si="13"/>
        <v>231.205050523162</v>
      </c>
      <c r="P29" s="11">
        <f t="shared" si="14"/>
        <v>228.994882160202</v>
      </c>
      <c r="Q29" s="19">
        <f t="shared" si="15"/>
        <v>223.26485442998</v>
      </c>
      <c r="W29" s="3"/>
      <c r="X29" s="3"/>
      <c r="Y29" s="3"/>
      <c r="Z29" s="3"/>
      <c r="AA29" s="3"/>
      <c r="AB29" s="3"/>
      <c r="AC29" s="3"/>
    </row>
    <row r="30" spans="4:29">
      <c r="D30" s="7"/>
      <c r="E30" s="1"/>
      <c r="G30" s="3">
        <f t="shared" ref="G30:G38" si="16">B30*20/0.1452/(1-B30)</f>
        <v>0</v>
      </c>
      <c r="H30" s="3">
        <f t="shared" ref="H30:H38" si="17">C30*20/0.1452/(1-C30)</f>
        <v>0</v>
      </c>
      <c r="I30" s="3">
        <f t="shared" ref="I30:I38" si="18">D30*20/0.1452/(1-D30)</f>
        <v>0</v>
      </c>
      <c r="K30" s="3">
        <f t="shared" ref="K30:K38" si="19">B30*20/0.1262/(1-B30)</f>
        <v>0</v>
      </c>
      <c r="L30" s="3">
        <f t="shared" ref="L30:L38" si="20">C30*20/0.1262/(1-C30)</f>
        <v>0</v>
      </c>
      <c r="M30" s="3">
        <f t="shared" ref="M30:M38" si="21">D30*20/0.1262/(1-D30)</f>
        <v>0</v>
      </c>
      <c r="N30" s="3"/>
      <c r="O30" s="3">
        <f t="shared" ref="O30:O38" si="22">B30*20/0.1321/(1-B30)</f>
        <v>0</v>
      </c>
      <c r="P30" s="3">
        <f t="shared" ref="P30:P38" si="23">C30*20/0.1321/(1-C30)</f>
        <v>0</v>
      </c>
      <c r="Q30" s="3">
        <f t="shared" ref="Q30:Q38" si="24">D30*20/0.1321/(1-D30)</f>
        <v>0</v>
      </c>
      <c r="W30" s="3"/>
      <c r="X30" s="3"/>
      <c r="Y30" s="3"/>
      <c r="Z30" s="3"/>
      <c r="AA30" s="3"/>
      <c r="AB30" s="3"/>
      <c r="AC30" s="3"/>
    </row>
    <row r="31" spans="7:29">
      <c r="G31" s="3">
        <f t="shared" si="16"/>
        <v>0</v>
      </c>
      <c r="H31" s="3">
        <f t="shared" si="17"/>
        <v>0</v>
      </c>
      <c r="I31" s="3">
        <f t="shared" si="18"/>
        <v>0</v>
      </c>
      <c r="K31" s="3">
        <f t="shared" si="19"/>
        <v>0</v>
      </c>
      <c r="L31" s="3">
        <f t="shared" si="20"/>
        <v>0</v>
      </c>
      <c r="M31" s="3">
        <f t="shared" si="21"/>
        <v>0</v>
      </c>
      <c r="O31" s="3">
        <f t="shared" si="22"/>
        <v>0</v>
      </c>
      <c r="P31" s="3">
        <f t="shared" si="23"/>
        <v>0</v>
      </c>
      <c r="Q31" s="3">
        <f t="shared" si="24"/>
        <v>0</v>
      </c>
      <c r="W31" s="3"/>
      <c r="X31" s="3"/>
      <c r="Y31" s="3"/>
      <c r="Z31" s="3"/>
      <c r="AA31" s="3"/>
      <c r="AB31" s="3"/>
      <c r="AC31" s="3"/>
    </row>
    <row r="32" spans="7:29">
      <c r="G32" s="3">
        <f t="shared" si="16"/>
        <v>0</v>
      </c>
      <c r="H32" s="3">
        <f t="shared" si="17"/>
        <v>0</v>
      </c>
      <c r="I32" s="3">
        <f t="shared" si="18"/>
        <v>0</v>
      </c>
      <c r="K32" s="3">
        <f t="shared" si="19"/>
        <v>0</v>
      </c>
      <c r="L32" s="3">
        <f t="shared" si="20"/>
        <v>0</v>
      </c>
      <c r="M32" s="3">
        <f t="shared" si="21"/>
        <v>0</v>
      </c>
      <c r="O32" s="3">
        <f t="shared" si="22"/>
        <v>0</v>
      </c>
      <c r="P32" s="3">
        <f t="shared" si="23"/>
        <v>0</v>
      </c>
      <c r="Q32" s="3">
        <f t="shared" si="24"/>
        <v>0</v>
      </c>
      <c r="W32" s="3"/>
      <c r="X32" s="3"/>
      <c r="Y32" s="3"/>
      <c r="Z32" s="3"/>
      <c r="AA32" s="3"/>
      <c r="AB32" s="3"/>
      <c r="AC32" s="3"/>
    </row>
    <row r="33" spans="7:29">
      <c r="G33" s="3">
        <f t="shared" si="16"/>
        <v>0</v>
      </c>
      <c r="H33" s="3">
        <f t="shared" si="17"/>
        <v>0</v>
      </c>
      <c r="I33" s="3">
        <f t="shared" si="18"/>
        <v>0</v>
      </c>
      <c r="K33" s="3">
        <f t="shared" si="19"/>
        <v>0</v>
      </c>
      <c r="L33" s="3">
        <f t="shared" si="20"/>
        <v>0</v>
      </c>
      <c r="M33" s="3">
        <f t="shared" si="21"/>
        <v>0</v>
      </c>
      <c r="O33" s="3">
        <f t="shared" si="22"/>
        <v>0</v>
      </c>
      <c r="P33" s="3">
        <f t="shared" si="23"/>
        <v>0</v>
      </c>
      <c r="Q33" s="3">
        <f t="shared" si="24"/>
        <v>0</v>
      </c>
      <c r="W33" s="3"/>
      <c r="X33" s="3"/>
      <c r="Y33" s="3"/>
      <c r="Z33" s="3"/>
      <c r="AA33" s="3"/>
      <c r="AB33" s="3"/>
      <c r="AC33" s="3"/>
    </row>
    <row r="34" spans="7:29">
      <c r="G34" s="3">
        <f t="shared" si="16"/>
        <v>0</v>
      </c>
      <c r="H34" s="3">
        <f t="shared" si="17"/>
        <v>0</v>
      </c>
      <c r="I34" s="3">
        <f t="shared" si="18"/>
        <v>0</v>
      </c>
      <c r="K34" s="3">
        <f t="shared" si="19"/>
        <v>0</v>
      </c>
      <c r="L34" s="3">
        <f t="shared" si="20"/>
        <v>0</v>
      </c>
      <c r="M34" s="3">
        <f t="shared" si="21"/>
        <v>0</v>
      </c>
      <c r="O34" s="3">
        <f t="shared" si="22"/>
        <v>0</v>
      </c>
      <c r="P34" s="3">
        <f t="shared" si="23"/>
        <v>0</v>
      </c>
      <c r="Q34" s="3">
        <f t="shared" si="24"/>
        <v>0</v>
      </c>
      <c r="W34" s="3"/>
      <c r="X34" s="3"/>
      <c r="Y34" s="3"/>
      <c r="Z34" s="3"/>
      <c r="AA34" s="3"/>
      <c r="AB34" s="3"/>
      <c r="AC34" s="3"/>
    </row>
    <row r="35" spans="7:29">
      <c r="G35" s="3">
        <f t="shared" si="16"/>
        <v>0</v>
      </c>
      <c r="H35" s="3">
        <f t="shared" si="17"/>
        <v>0</v>
      </c>
      <c r="I35" s="3">
        <f t="shared" si="18"/>
        <v>0</v>
      </c>
      <c r="K35" s="3">
        <f t="shared" si="19"/>
        <v>0</v>
      </c>
      <c r="L35" s="3">
        <f t="shared" si="20"/>
        <v>0</v>
      </c>
      <c r="M35" s="3">
        <f t="shared" si="21"/>
        <v>0</v>
      </c>
      <c r="O35" s="3">
        <f t="shared" si="22"/>
        <v>0</v>
      </c>
      <c r="P35" s="3">
        <f t="shared" si="23"/>
        <v>0</v>
      </c>
      <c r="Q35" s="3">
        <f t="shared" si="24"/>
        <v>0</v>
      </c>
      <c r="W35" s="3"/>
      <c r="X35" s="3"/>
      <c r="Y35" s="3"/>
      <c r="Z35" s="3"/>
      <c r="AA35" s="3"/>
      <c r="AB35" s="3"/>
      <c r="AC35" s="3"/>
    </row>
    <row r="36" spans="2:29">
      <c r="B36" s="7">
        <v>0.475145684965798</v>
      </c>
      <c r="C36" s="7">
        <v>0.468057206681748</v>
      </c>
      <c r="D36" s="7">
        <v>0.461520711201818</v>
      </c>
      <c r="E36" s="1">
        <v>0.1458</v>
      </c>
      <c r="F36" s="3">
        <v>143.469193931898</v>
      </c>
      <c r="G36" s="3">
        <f t="shared" si="16"/>
        <v>124.695676819597</v>
      </c>
      <c r="H36" s="3">
        <f t="shared" si="17"/>
        <v>121.198539458384</v>
      </c>
      <c r="I36" s="3">
        <f t="shared" si="18"/>
        <v>118.055322122877</v>
      </c>
      <c r="K36" s="11">
        <f t="shared" si="19"/>
        <v>143.469193931898</v>
      </c>
      <c r="L36" s="3">
        <f t="shared" si="20"/>
        <v>139.445546191421</v>
      </c>
      <c r="M36" s="3">
        <f t="shared" si="21"/>
        <v>135.82910279114</v>
      </c>
      <c r="O36" s="3">
        <f t="shared" si="22"/>
        <v>137.061410099966</v>
      </c>
      <c r="P36" s="3">
        <f t="shared" si="23"/>
        <v>133.217471077648</v>
      </c>
      <c r="Q36" s="3">
        <f t="shared" si="24"/>
        <v>129.762549373519</v>
      </c>
      <c r="W36" s="3"/>
      <c r="X36" s="3"/>
      <c r="Y36" s="3"/>
      <c r="Z36" s="3"/>
      <c r="AA36" s="3"/>
      <c r="AB36" s="3"/>
      <c r="AC36" s="3"/>
    </row>
    <row r="37" spans="1:29">
      <c r="A37" t="s">
        <v>3</v>
      </c>
      <c r="B37" s="7">
        <v>0.589642859110678</v>
      </c>
      <c r="C37" s="7">
        <v>0.583812599580627</v>
      </c>
      <c r="D37" s="7">
        <v>0.577315473370408</v>
      </c>
      <c r="E37" s="1">
        <v>0.1278</v>
      </c>
      <c r="F37" s="3">
        <v>188.130940795028</v>
      </c>
      <c r="G37" s="3">
        <f t="shared" si="16"/>
        <v>197.920339572689</v>
      </c>
      <c r="H37" s="3">
        <f t="shared" si="17"/>
        <v>193.218147735589</v>
      </c>
      <c r="I37" s="11">
        <f t="shared" si="18"/>
        <v>188.130940795028</v>
      </c>
      <c r="K37" s="3">
        <f t="shared" si="19"/>
        <v>227.71817199647</v>
      </c>
      <c r="L37" s="3">
        <f t="shared" si="20"/>
        <v>222.308043194988</v>
      </c>
      <c r="M37" s="3">
        <f t="shared" si="21"/>
        <v>216.454933466228</v>
      </c>
      <c r="O37" s="3">
        <f t="shared" si="22"/>
        <v>217.54756476877</v>
      </c>
      <c r="P37" s="3">
        <f t="shared" si="23"/>
        <v>212.379069274849</v>
      </c>
      <c r="Q37" s="3">
        <f t="shared" si="24"/>
        <v>206.787377770159</v>
      </c>
      <c r="W37" s="3"/>
      <c r="X37" s="3"/>
      <c r="Y37" s="3"/>
      <c r="Z37" s="3"/>
      <c r="AA37" s="3"/>
      <c r="AB37" s="3"/>
      <c r="AC37" s="3"/>
    </row>
    <row r="38" spans="2:29">
      <c r="B38" s="7">
        <v>0.52134264954315</v>
      </c>
      <c r="C38" s="7">
        <v>0.515665960220578</v>
      </c>
      <c r="D38" s="7">
        <v>0.509667628869167</v>
      </c>
      <c r="E38" s="1">
        <v>0.1316</v>
      </c>
      <c r="F38" s="3">
        <v>164.727886205949</v>
      </c>
      <c r="G38" s="3">
        <f t="shared" si="16"/>
        <v>150.024401041121</v>
      </c>
      <c r="H38" s="3">
        <f t="shared" si="17"/>
        <v>146.651615089322</v>
      </c>
      <c r="I38" s="3">
        <f t="shared" si="18"/>
        <v>143.172584291948</v>
      </c>
      <c r="K38" s="3">
        <f t="shared" si="19"/>
        <v>172.611275999769</v>
      </c>
      <c r="L38" s="3">
        <f t="shared" si="20"/>
        <v>168.730701354751</v>
      </c>
      <c r="M38" s="11">
        <f t="shared" si="21"/>
        <v>164.727886205949</v>
      </c>
      <c r="O38" s="3">
        <f t="shared" si="22"/>
        <v>164.901915451709</v>
      </c>
      <c r="P38" s="3">
        <f t="shared" si="23"/>
        <v>161.194659432018</v>
      </c>
      <c r="Q38" s="3">
        <f t="shared" si="24"/>
        <v>157.370622552542</v>
      </c>
      <c r="W38" s="3"/>
      <c r="X38" s="3"/>
      <c r="Y38" s="3"/>
      <c r="Z38" s="3"/>
      <c r="AA38" s="3"/>
      <c r="AB38" s="3"/>
      <c r="AC38" s="3"/>
    </row>
    <row r="39" spans="23:29">
      <c r="W39" s="3"/>
      <c r="X39" s="3"/>
      <c r="Y39" s="3"/>
      <c r="Z39" s="3"/>
      <c r="AA39" s="3"/>
      <c r="AB39" s="3"/>
      <c r="AC39" s="3"/>
    </row>
    <row r="40" spans="23:29">
      <c r="W40" s="3"/>
      <c r="X40" s="3"/>
      <c r="Y40" s="3"/>
      <c r="Z40" s="3"/>
      <c r="AA40" s="3"/>
      <c r="AB40" s="3"/>
      <c r="AC40" s="3"/>
    </row>
    <row r="41" spans="23:29">
      <c r="W41" s="3"/>
      <c r="X41" s="3"/>
      <c r="Y41" s="3"/>
      <c r="Z41" s="3"/>
      <c r="AA41" s="3"/>
      <c r="AB41" s="3"/>
      <c r="AC41" s="3"/>
    </row>
    <row r="42" spans="23:29">
      <c r="W42" s="3"/>
      <c r="X42" s="3"/>
      <c r="Y42" s="3"/>
      <c r="Z42" s="3"/>
      <c r="AA42" s="3"/>
      <c r="AB42" s="3"/>
      <c r="AC42" s="3"/>
    </row>
    <row r="43" spans="23:29">
      <c r="W43" s="3"/>
      <c r="X43" s="3"/>
      <c r="Y43" s="3"/>
      <c r="Z43" s="3"/>
      <c r="AA43" s="3"/>
      <c r="AB43" s="3"/>
      <c r="AC43" s="3"/>
    </row>
    <row r="44" spans="23:29">
      <c r="W44" s="3"/>
      <c r="X44" s="3"/>
      <c r="Y44" s="3"/>
      <c r="Z44" s="3"/>
      <c r="AA44" s="3"/>
      <c r="AB44" s="3"/>
      <c r="AC44" s="3"/>
    </row>
    <row r="45" spans="23:29">
      <c r="W45" s="3"/>
      <c r="X45" s="3"/>
      <c r="Y45" s="3"/>
      <c r="Z45" s="3"/>
      <c r="AA45" s="3"/>
      <c r="AB45" s="3"/>
      <c r="AC45" s="3"/>
    </row>
    <row r="46" spans="23:29">
      <c r="W46" s="3"/>
      <c r="X46" s="3"/>
      <c r="Y46" s="3"/>
      <c r="Z46" s="3"/>
      <c r="AA46" s="3"/>
      <c r="AB46" s="3"/>
      <c r="AC46" s="3"/>
    </row>
    <row r="47" spans="23:29">
      <c r="W47" s="3"/>
      <c r="X47" s="3"/>
      <c r="Y47" s="3"/>
      <c r="Z47" s="3"/>
      <c r="AA47" s="3"/>
      <c r="AB47" s="3"/>
      <c r="AC47" s="3"/>
    </row>
    <row r="48" spans="23:29">
      <c r="W48" s="3"/>
      <c r="X48" s="3"/>
      <c r="Y48" s="3"/>
      <c r="Z48" s="3"/>
      <c r="AA48" s="3"/>
      <c r="AB48" s="3"/>
      <c r="AC48" s="3"/>
    </row>
    <row r="49" spans="23:29">
      <c r="W49" s="3"/>
      <c r="X49" s="3"/>
      <c r="Y49" s="3"/>
      <c r="Z49" s="3"/>
      <c r="AA49" s="3"/>
      <c r="AB49" s="3"/>
      <c r="AC49" s="3"/>
    </row>
    <row r="50" spans="23:29">
      <c r="W50" s="3"/>
      <c r="X50" s="3"/>
      <c r="Y50" s="3"/>
      <c r="Z50" s="3"/>
      <c r="AA50" s="3"/>
      <c r="AB50" s="3"/>
      <c r="AC50" s="3"/>
    </row>
    <row r="51" spans="23:29">
      <c r="W51" s="3"/>
      <c r="X51" s="3"/>
      <c r="Y51" s="3"/>
      <c r="Z51" s="3"/>
      <c r="AA51" s="3"/>
      <c r="AB51" s="3"/>
      <c r="AC51" s="3"/>
    </row>
    <row r="52" spans="23:29">
      <c r="W52" s="3"/>
      <c r="X52" s="3"/>
      <c r="Y52" s="3"/>
      <c r="Z52" s="3"/>
      <c r="AA52" s="3"/>
      <c r="AB52" s="3"/>
      <c r="AC52" s="3"/>
    </row>
    <row r="53" spans="23:29">
      <c r="W53" s="3"/>
      <c r="X53" s="3"/>
      <c r="Y53" s="3"/>
      <c r="Z53" s="3"/>
      <c r="AA53" s="3"/>
      <c r="AB53" s="3"/>
      <c r="AC53" s="3"/>
    </row>
    <row r="54" spans="23:29">
      <c r="W54" s="3"/>
      <c r="X54" s="3"/>
      <c r="Y54" s="3"/>
      <c r="Z54" s="3"/>
      <c r="AA54" s="3"/>
      <c r="AB54" s="3"/>
      <c r="AC54" s="3"/>
    </row>
    <row r="55" spans="23:29">
      <c r="W55" s="3"/>
      <c r="X55" s="3"/>
      <c r="Y55" s="3"/>
      <c r="Z55" s="3"/>
      <c r="AA55" s="3"/>
      <c r="AB55" s="3"/>
      <c r="AC55" s="3"/>
    </row>
    <row r="56" spans="23:29">
      <c r="W56" s="3"/>
      <c r="X56" s="3"/>
      <c r="Y56" s="3"/>
      <c r="Z56" s="3"/>
      <c r="AA56" s="3"/>
      <c r="AB56" s="3"/>
      <c r="AC56" s="3"/>
    </row>
    <row r="57" spans="23:29">
      <c r="W57" s="3"/>
      <c r="X57" s="3"/>
      <c r="Y57" s="3"/>
      <c r="Z57" s="3"/>
      <c r="AA57" s="3"/>
      <c r="AB57" s="3"/>
      <c r="AC57" s="3"/>
    </row>
    <row r="58" spans="23:29">
      <c r="W58" s="3"/>
      <c r="X58" s="3"/>
      <c r="Y58" s="3"/>
      <c r="Z58" s="3"/>
      <c r="AA58" s="3"/>
      <c r="AB58" s="3"/>
      <c r="AC58" s="3"/>
    </row>
    <row r="59" spans="23:29">
      <c r="W59" s="3"/>
      <c r="X59" s="3"/>
      <c r="Y59" s="3"/>
      <c r="Z59" s="3"/>
      <c r="AA59" s="3"/>
      <c r="AB59" s="3"/>
      <c r="AC59" s="3"/>
    </row>
    <row r="60" spans="23:29">
      <c r="W60" s="3"/>
      <c r="X60" s="3"/>
      <c r="Y60" s="3"/>
      <c r="Z60" s="3"/>
      <c r="AA60" s="3"/>
      <c r="AB60" s="3"/>
      <c r="AC60" s="3"/>
    </row>
    <row r="61" spans="23:29">
      <c r="W61" s="3"/>
      <c r="X61" s="3"/>
      <c r="Y61" s="3"/>
      <c r="Z61" s="3"/>
      <c r="AA61" s="3"/>
      <c r="AB61" s="3"/>
      <c r="AC61" s="3"/>
    </row>
    <row r="62" spans="23:29">
      <c r="W62" s="3"/>
      <c r="X62" s="3"/>
      <c r="Y62" s="3"/>
      <c r="Z62" s="3"/>
      <c r="AA62" s="3"/>
      <c r="AB62" s="3"/>
      <c r="AC62" s="3"/>
    </row>
    <row r="63" spans="23:29">
      <c r="W63" s="3"/>
      <c r="X63" s="3"/>
      <c r="Y63" s="3"/>
      <c r="Z63" s="3"/>
      <c r="AA63" s="3"/>
      <c r="AB63" s="3"/>
      <c r="AC63" s="3"/>
    </row>
    <row r="64" spans="23:29">
      <c r="W64" s="3"/>
      <c r="X64" s="3"/>
      <c r="Y64" s="3"/>
      <c r="Z64" s="3"/>
      <c r="AA64" s="3"/>
      <c r="AB64" s="3"/>
      <c r="AC64" s="3"/>
    </row>
    <row r="65" spans="23:29">
      <c r="W65" s="3"/>
      <c r="X65" s="3"/>
      <c r="Y65" s="3"/>
      <c r="Z65" s="3"/>
      <c r="AA65" s="3"/>
      <c r="AB65" s="3"/>
      <c r="AC65" s="3"/>
    </row>
    <row r="66" spans="23:29">
      <c r="W66" s="3"/>
      <c r="X66" s="3"/>
      <c r="Y66" s="3"/>
      <c r="Z66" s="3"/>
      <c r="AA66" s="3"/>
      <c r="AB66" s="3"/>
      <c r="AC66" s="3"/>
    </row>
    <row r="67" spans="23:29">
      <c r="W67" s="3"/>
      <c r="X67" s="3"/>
      <c r="Y67" s="3"/>
      <c r="Z67" s="3"/>
      <c r="AA67" s="3"/>
      <c r="AB67" s="3"/>
      <c r="AC67" s="3"/>
    </row>
    <row r="68" spans="23:29">
      <c r="W68" s="3"/>
      <c r="X68" s="3"/>
      <c r="Y68" s="3"/>
      <c r="Z68" s="3"/>
      <c r="AA68" s="3"/>
      <c r="AB68" s="3"/>
      <c r="AC68" s="3"/>
    </row>
    <row r="69" spans="23:29">
      <c r="W69" s="3"/>
      <c r="X69" s="3"/>
      <c r="Y69" s="3"/>
      <c r="Z69" s="3"/>
      <c r="AA69" s="3"/>
      <c r="AB69" s="3"/>
      <c r="AC69" s="3"/>
    </row>
    <row r="70" spans="23:29">
      <c r="W70" s="3"/>
      <c r="X70" s="3"/>
      <c r="Y70" s="3"/>
      <c r="Z70" s="3"/>
      <c r="AA70" s="3"/>
      <c r="AB70" s="3"/>
      <c r="AC70" s="3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5"/>
  <sheetViews>
    <sheetView zoomScale="160" zoomScaleNormal="160" workbookViewId="0">
      <selection activeCell="E2" sqref="E2"/>
    </sheetView>
  </sheetViews>
  <sheetFormatPr defaultColWidth="9" defaultRowHeight="14.4"/>
  <cols>
    <col min="1" max="1" width="9.22222222222222" customWidth="1"/>
  </cols>
  <sheetData>
    <row r="1" spans="1:12">
      <c r="A1" t="s">
        <v>0</v>
      </c>
      <c r="B1" t="s">
        <v>43</v>
      </c>
      <c r="C1" t="s">
        <v>44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</row>
    <row r="2" spans="1:3">
      <c r="A2" t="s">
        <v>6</v>
      </c>
      <c r="B2">
        <v>0.202</v>
      </c>
      <c r="C2">
        <v>0.198</v>
      </c>
    </row>
    <row r="3" spans="1:3">
      <c r="A3" t="s">
        <v>9</v>
      </c>
      <c r="B3">
        <v>0.191</v>
      </c>
      <c r="C3">
        <v>0.187</v>
      </c>
    </row>
    <row r="4" spans="1:3">
      <c r="A4" t="s">
        <v>12</v>
      </c>
      <c r="B4">
        <v>0.182</v>
      </c>
      <c r="C4">
        <v>0.178</v>
      </c>
    </row>
    <row r="5" spans="1:3">
      <c r="A5" t="s">
        <v>15</v>
      </c>
      <c r="B5">
        <v>0.157</v>
      </c>
      <c r="C5">
        <v>0.153</v>
      </c>
    </row>
    <row r="6" spans="1:3">
      <c r="A6" t="s">
        <v>17</v>
      </c>
      <c r="B6">
        <v>0.146</v>
      </c>
      <c r="C6">
        <v>0.142</v>
      </c>
    </row>
    <row r="7" spans="1:3">
      <c r="A7" t="s">
        <v>19</v>
      </c>
      <c r="B7">
        <v>0.152</v>
      </c>
      <c r="C7">
        <v>0.148</v>
      </c>
    </row>
    <row r="8" spans="1:3">
      <c r="A8" t="s">
        <v>21</v>
      </c>
      <c r="B8">
        <v>0.17</v>
      </c>
      <c r="C8">
        <v>0.166</v>
      </c>
    </row>
    <row r="9" spans="1:3">
      <c r="A9" t="s">
        <v>23</v>
      </c>
      <c r="B9">
        <v>0.166</v>
      </c>
      <c r="C9">
        <v>0.162</v>
      </c>
    </row>
    <row r="10" spans="1:3">
      <c r="A10" t="s">
        <v>25</v>
      </c>
      <c r="B10">
        <v>0.187</v>
      </c>
      <c r="C10">
        <v>0.183</v>
      </c>
    </row>
    <row r="11" spans="1:3">
      <c r="A11" t="s">
        <v>27</v>
      </c>
      <c r="B11">
        <v>0.184</v>
      </c>
      <c r="C11">
        <v>0.181</v>
      </c>
    </row>
    <row r="12" spans="1:3">
      <c r="A12" t="s">
        <v>29</v>
      </c>
      <c r="B12">
        <v>0.158</v>
      </c>
      <c r="C12">
        <v>0.154</v>
      </c>
    </row>
    <row r="13" spans="1:3">
      <c r="A13" t="s">
        <v>31</v>
      </c>
      <c r="B13">
        <v>0.166</v>
      </c>
      <c r="C13">
        <v>0.162</v>
      </c>
    </row>
    <row r="17" spans="1:1">
      <c r="A17" t="s">
        <v>2</v>
      </c>
    </row>
    <row r="18" spans="1:3">
      <c r="A18" t="s">
        <v>7</v>
      </c>
      <c r="B18">
        <v>0.18</v>
      </c>
      <c r="C18">
        <v>0.174</v>
      </c>
    </row>
    <row r="19" spans="1:3">
      <c r="A19" t="s">
        <v>10</v>
      </c>
      <c r="B19">
        <v>0.172</v>
      </c>
      <c r="C19">
        <v>0.168</v>
      </c>
    </row>
    <row r="20" spans="1:3">
      <c r="A20" t="s">
        <v>13</v>
      </c>
      <c r="B20">
        <v>0.108</v>
      </c>
      <c r="C20">
        <v>0.204</v>
      </c>
    </row>
    <row r="21" spans="1:3">
      <c r="A21" t="s">
        <v>16</v>
      </c>
      <c r="B21">
        <v>0.172</v>
      </c>
      <c r="C21">
        <v>0.168</v>
      </c>
    </row>
    <row r="22" spans="1:3">
      <c r="A22" t="s">
        <v>18</v>
      </c>
      <c r="B22">
        <v>0.177</v>
      </c>
      <c r="C22">
        <v>0.171</v>
      </c>
    </row>
    <row r="23" spans="1:3">
      <c r="A23" t="s">
        <v>20</v>
      </c>
      <c r="B23">
        <v>0.183</v>
      </c>
      <c r="C23">
        <v>0.179</v>
      </c>
    </row>
    <row r="24" spans="1:3">
      <c r="A24" t="s">
        <v>22</v>
      </c>
      <c r="B24">
        <v>0.242</v>
      </c>
      <c r="C24">
        <v>0.236</v>
      </c>
    </row>
    <row r="25" spans="1:3">
      <c r="A25" t="s">
        <v>24</v>
      </c>
      <c r="B25">
        <v>0.207</v>
      </c>
      <c r="C25">
        <v>0.202</v>
      </c>
    </row>
    <row r="26" spans="1:3">
      <c r="A26" t="s">
        <v>26</v>
      </c>
      <c r="B26">
        <v>0.214</v>
      </c>
      <c r="C26">
        <v>0.208</v>
      </c>
    </row>
    <row r="27" spans="1:3">
      <c r="A27" t="s">
        <v>28</v>
      </c>
      <c r="B27">
        <v>0.234</v>
      </c>
      <c r="C27">
        <v>0.228</v>
      </c>
    </row>
    <row r="28" spans="1:3">
      <c r="A28" t="s">
        <v>30</v>
      </c>
      <c r="B28">
        <v>0.196</v>
      </c>
      <c r="C28">
        <v>0.191</v>
      </c>
    </row>
    <row r="29" spans="1:3">
      <c r="A29" t="s">
        <v>32</v>
      </c>
      <c r="B29">
        <v>0.245</v>
      </c>
      <c r="C29">
        <v>0.239</v>
      </c>
    </row>
    <row r="35" spans="1:1">
      <c r="A35" t="s">
        <v>3</v>
      </c>
    </row>
    <row r="36" spans="1:3">
      <c r="A36">
        <v>1</v>
      </c>
      <c r="B36">
        <v>0.277</v>
      </c>
      <c r="C36">
        <v>0.27</v>
      </c>
    </row>
    <row r="37" spans="1:3">
      <c r="A37">
        <v>2</v>
      </c>
      <c r="B37">
        <v>0.253</v>
      </c>
      <c r="C37">
        <v>0.247</v>
      </c>
    </row>
    <row r="38" spans="1:3">
      <c r="A38">
        <v>3</v>
      </c>
      <c r="B38">
        <v>0.288</v>
      </c>
      <c r="C38">
        <v>0.282</v>
      </c>
    </row>
    <row r="42" spans="1:1">
      <c r="A42" t="s">
        <v>4</v>
      </c>
    </row>
    <row r="43" spans="1:1">
      <c r="A43" t="s">
        <v>8</v>
      </c>
    </row>
    <row r="44" spans="1:1">
      <c r="A44" t="s">
        <v>11</v>
      </c>
    </row>
    <row r="45" spans="1:1">
      <c r="A45" t="s">
        <v>14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6"/>
  <sheetViews>
    <sheetView zoomScale="85" zoomScaleNormal="85" workbookViewId="0">
      <selection activeCell="D3" sqref="D3"/>
    </sheetView>
  </sheetViews>
  <sheetFormatPr defaultColWidth="8.88888888888889" defaultRowHeight="14.4"/>
  <cols>
    <col min="1" max="1" width="9.22222222222222" customWidth="1"/>
  </cols>
  <sheetData>
    <row r="1" spans="2:6">
      <c r="B1" s="2" t="s">
        <v>45</v>
      </c>
      <c r="C1" s="2"/>
      <c r="E1" s="2" t="s">
        <v>46</v>
      </c>
      <c r="F1" s="2"/>
    </row>
    <row r="2" spans="1:11">
      <c r="A2" t="s">
        <v>0</v>
      </c>
      <c r="B2">
        <v>1</v>
      </c>
      <c r="C2">
        <v>2</v>
      </c>
      <c r="E2">
        <v>1</v>
      </c>
      <c r="F2">
        <v>2</v>
      </c>
      <c r="I2">
        <v>0.1228</v>
      </c>
      <c r="J2">
        <v>0.1384</v>
      </c>
      <c r="K2">
        <v>1.4658</v>
      </c>
    </row>
    <row r="3" spans="1:6">
      <c r="A3" t="s">
        <v>6</v>
      </c>
      <c r="B3">
        <v>4.011</v>
      </c>
      <c r="C3">
        <v>3.931</v>
      </c>
      <c r="E3">
        <v>2.651</v>
      </c>
      <c r="F3">
        <v>3.034</v>
      </c>
    </row>
    <row r="4" spans="1:6">
      <c r="A4" t="s">
        <v>9</v>
      </c>
      <c r="B4">
        <v>4.942</v>
      </c>
      <c r="C4">
        <v>3.946</v>
      </c>
      <c r="E4">
        <v>2.677</v>
      </c>
      <c r="F4">
        <v>3.064</v>
      </c>
    </row>
    <row r="5" spans="1:6">
      <c r="A5" t="s">
        <v>12</v>
      </c>
      <c r="B5">
        <v>4.064</v>
      </c>
      <c r="C5">
        <v>3.958</v>
      </c>
      <c r="E5">
        <v>2.49</v>
      </c>
      <c r="F5">
        <v>2.873</v>
      </c>
    </row>
    <row r="6" spans="1:6">
      <c r="A6" t="s">
        <v>15</v>
      </c>
      <c r="B6">
        <v>3.816</v>
      </c>
      <c r="C6">
        <v>3.797</v>
      </c>
      <c r="E6">
        <v>2.822</v>
      </c>
      <c r="F6">
        <v>3.232</v>
      </c>
    </row>
    <row r="7" spans="1:6">
      <c r="A7" t="s">
        <v>17</v>
      </c>
      <c r="B7">
        <v>3.744</v>
      </c>
      <c r="C7">
        <v>3.651</v>
      </c>
      <c r="E7">
        <v>2.541</v>
      </c>
      <c r="F7">
        <v>2.923</v>
      </c>
    </row>
    <row r="8" spans="1:6">
      <c r="A8" t="s">
        <v>19</v>
      </c>
      <c r="B8">
        <v>3.989</v>
      </c>
      <c r="C8">
        <v>3.937</v>
      </c>
      <c r="E8">
        <v>2.542</v>
      </c>
      <c r="F8">
        <v>2.434</v>
      </c>
    </row>
    <row r="9" spans="1:6">
      <c r="A9" t="s">
        <v>21</v>
      </c>
      <c r="B9">
        <v>3.834</v>
      </c>
      <c r="C9">
        <v>3.78</v>
      </c>
      <c r="E9">
        <v>2.972</v>
      </c>
      <c r="F9">
        <v>2.778</v>
      </c>
    </row>
    <row r="10" spans="1:6">
      <c r="A10" t="s">
        <v>23</v>
      </c>
      <c r="B10">
        <v>3.662</v>
      </c>
      <c r="C10">
        <v>3.649</v>
      </c>
      <c r="E10">
        <v>2.19</v>
      </c>
      <c r="F10">
        <v>2.585</v>
      </c>
    </row>
    <row r="11" spans="1:6">
      <c r="A11" t="s">
        <v>25</v>
      </c>
      <c r="B11">
        <v>3.844</v>
      </c>
      <c r="C11">
        <v>3.793</v>
      </c>
      <c r="E11">
        <v>3.151</v>
      </c>
      <c r="F11">
        <v>3.573</v>
      </c>
    </row>
    <row r="12" spans="1:6">
      <c r="A12" t="s">
        <v>27</v>
      </c>
      <c r="B12">
        <v>3.649</v>
      </c>
      <c r="C12">
        <v>3.63</v>
      </c>
      <c r="E12">
        <v>2.068</v>
      </c>
      <c r="F12">
        <v>2.451</v>
      </c>
    </row>
    <row r="13" spans="1:6">
      <c r="A13" t="s">
        <v>29</v>
      </c>
      <c r="B13">
        <v>3.709</v>
      </c>
      <c r="C13">
        <v>3.695</v>
      </c>
      <c r="E13">
        <v>2.174</v>
      </c>
      <c r="F13">
        <v>2.564</v>
      </c>
    </row>
    <row r="14" spans="1:6">
      <c r="A14" t="s">
        <v>31</v>
      </c>
      <c r="B14">
        <v>3.463</v>
      </c>
      <c r="C14">
        <v>3.46</v>
      </c>
      <c r="E14">
        <v>1.883</v>
      </c>
      <c r="F14">
        <v>2.252</v>
      </c>
    </row>
    <row r="18" spans="1:1">
      <c r="A18" t="s">
        <v>2</v>
      </c>
    </row>
    <row r="19" spans="1:6">
      <c r="A19" t="s">
        <v>7</v>
      </c>
      <c r="B19">
        <v>3.989</v>
      </c>
      <c r="C19">
        <v>3.943</v>
      </c>
      <c r="E19">
        <v>2.532</v>
      </c>
      <c r="F19">
        <v>2.978</v>
      </c>
    </row>
    <row r="20" spans="1:6">
      <c r="A20" t="s">
        <v>10</v>
      </c>
      <c r="B20">
        <v>3.63</v>
      </c>
      <c r="C20">
        <v>3.649</v>
      </c>
      <c r="E20">
        <v>2.46</v>
      </c>
      <c r="F20">
        <v>2.905</v>
      </c>
    </row>
    <row r="21" spans="1:6">
      <c r="A21" t="s">
        <v>13</v>
      </c>
      <c r="B21">
        <v>3.743</v>
      </c>
      <c r="C21">
        <v>3.759</v>
      </c>
      <c r="E21">
        <v>2.502</v>
      </c>
      <c r="F21">
        <v>2.968</v>
      </c>
    </row>
    <row r="22" spans="1:6">
      <c r="A22" t="s">
        <v>16</v>
      </c>
      <c r="B22">
        <v>3.496</v>
      </c>
      <c r="C22">
        <v>3.54</v>
      </c>
      <c r="E22">
        <v>2.311</v>
      </c>
      <c r="F22">
        <v>2.746</v>
      </c>
    </row>
    <row r="23" spans="1:6">
      <c r="A23" t="s">
        <v>18</v>
      </c>
      <c r="B23">
        <v>3.902</v>
      </c>
      <c r="C23">
        <v>3.849</v>
      </c>
      <c r="E23">
        <v>3.65</v>
      </c>
      <c r="F23">
        <v>2.832</v>
      </c>
    </row>
    <row r="24" spans="1:6">
      <c r="A24" t="s">
        <v>20</v>
      </c>
      <c r="B24">
        <v>4.025</v>
      </c>
      <c r="C24">
        <v>3.962</v>
      </c>
      <c r="E24">
        <v>2.38</v>
      </c>
      <c r="F24">
        <v>2.854</v>
      </c>
    </row>
    <row r="25" spans="1:6">
      <c r="A25" t="s">
        <v>22</v>
      </c>
      <c r="B25">
        <v>3.989</v>
      </c>
      <c r="C25">
        <v>3.908</v>
      </c>
      <c r="E25">
        <v>2.412</v>
      </c>
      <c r="F25">
        <v>2.87</v>
      </c>
    </row>
    <row r="26" spans="1:6">
      <c r="A26" t="s">
        <v>24</v>
      </c>
      <c r="B26">
        <v>3.976</v>
      </c>
      <c r="C26">
        <v>3.931</v>
      </c>
      <c r="E26">
        <v>2.298</v>
      </c>
      <c r="F26">
        <v>2.764</v>
      </c>
    </row>
    <row r="27" spans="1:6">
      <c r="A27" t="s">
        <v>26</v>
      </c>
      <c r="B27">
        <v>3.88</v>
      </c>
      <c r="C27">
        <v>3.844</v>
      </c>
      <c r="E27">
        <v>2.275</v>
      </c>
      <c r="F27">
        <v>2.75</v>
      </c>
    </row>
    <row r="28" spans="1:6">
      <c r="A28" t="s">
        <v>28</v>
      </c>
      <c r="B28">
        <v>4.409</v>
      </c>
      <c r="C28">
        <v>4.04</v>
      </c>
      <c r="E28">
        <v>2.778</v>
      </c>
      <c r="F28">
        <v>3.28</v>
      </c>
    </row>
    <row r="29" spans="1:6">
      <c r="A29" t="s">
        <v>30</v>
      </c>
      <c r="B29">
        <v>4.117</v>
      </c>
      <c r="C29">
        <v>3.962</v>
      </c>
      <c r="E29">
        <v>2.645</v>
      </c>
      <c r="F29">
        <v>3.15</v>
      </c>
    </row>
    <row r="30" spans="1:6">
      <c r="A30" t="s">
        <v>32</v>
      </c>
      <c r="B30">
        <v>4.245</v>
      </c>
      <c r="C30">
        <v>4.089</v>
      </c>
      <c r="E30">
        <v>2.605</v>
      </c>
      <c r="F30">
        <v>3.119</v>
      </c>
    </row>
    <row r="36" spans="1:1">
      <c r="A36" t="s">
        <v>3</v>
      </c>
    </row>
    <row r="37" spans="1:6">
      <c r="A37">
        <v>1</v>
      </c>
      <c r="B37">
        <v>4.245</v>
      </c>
      <c r="C37">
        <v>4.064</v>
      </c>
      <c r="E37">
        <v>2.677</v>
      </c>
      <c r="F37">
        <v>3.19</v>
      </c>
    </row>
    <row r="38" spans="1:6">
      <c r="A38">
        <v>2</v>
      </c>
      <c r="B38">
        <v>4.145</v>
      </c>
      <c r="C38">
        <v>4.033</v>
      </c>
      <c r="E38">
        <v>2.57</v>
      </c>
      <c r="F38">
        <v>3.082</v>
      </c>
    </row>
    <row r="39" spans="1:6">
      <c r="A39">
        <v>3</v>
      </c>
      <c r="B39">
        <v>4.232</v>
      </c>
      <c r="C39">
        <v>4.089</v>
      </c>
      <c r="E39">
        <v>2.602</v>
      </c>
      <c r="F39">
        <v>3.124</v>
      </c>
    </row>
    <row r="43" spans="1:1">
      <c r="A43" t="s">
        <v>4</v>
      </c>
    </row>
    <row r="44" spans="1:1">
      <c r="A44" t="s">
        <v>8</v>
      </c>
    </row>
    <row r="45" spans="1:1">
      <c r="A45" t="s">
        <v>11</v>
      </c>
    </row>
    <row r="46" spans="1:1">
      <c r="A46" t="s">
        <v>14</v>
      </c>
    </row>
  </sheetData>
  <mergeCells count="2">
    <mergeCell ref="B1:C1"/>
    <mergeCell ref="E1:F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46"/>
  <sheetViews>
    <sheetView tabSelected="1" workbookViewId="0">
      <selection activeCell="E3" sqref="E3:E36"/>
    </sheetView>
  </sheetViews>
  <sheetFormatPr defaultColWidth="8.88888888888889" defaultRowHeight="14.4" outlineLevelCol="7"/>
  <cols>
    <col min="1" max="1" width="9.22222222222222" customWidth="1"/>
    <col min="4" max="4" width="10" customWidth="1"/>
    <col min="5" max="5" width="13.7777777777778" customWidth="1"/>
    <col min="6" max="6" width="12.8888888888889"/>
    <col min="7" max="8" width="9.66666666666667"/>
  </cols>
  <sheetData>
    <row r="2" spans="1:8">
      <c r="A2" t="s">
        <v>0</v>
      </c>
      <c r="B2" t="s">
        <v>47</v>
      </c>
      <c r="C2" t="s">
        <v>48</v>
      </c>
      <c r="D2" t="s">
        <v>49</v>
      </c>
      <c r="E2" t="s">
        <v>50</v>
      </c>
      <c r="F2">
        <v>0.1236</v>
      </c>
      <c r="G2">
        <v>0.1458</v>
      </c>
      <c r="H2">
        <v>0.1334</v>
      </c>
    </row>
    <row r="3" spans="1:8">
      <c r="A3" t="s">
        <v>6</v>
      </c>
      <c r="B3">
        <v>0.313</v>
      </c>
      <c r="C3">
        <v>1.044</v>
      </c>
      <c r="D3">
        <f>C3-B3</f>
        <v>0.731</v>
      </c>
      <c r="E3" s="1">
        <v>52.5431229773463</v>
      </c>
      <c r="F3" s="1">
        <f>8.9/0.1236*(D3-0.0013)</f>
        <v>52.5431229773463</v>
      </c>
      <c r="G3" s="1">
        <f>8.9/0.1458*(D3-0.0013)</f>
        <v>44.5427297668038</v>
      </c>
      <c r="H3" s="1">
        <f>8.9/0.1334*(D3-0.0013)</f>
        <v>48.6831334332834</v>
      </c>
    </row>
    <row r="4" spans="1:8">
      <c r="A4" t="s">
        <v>9</v>
      </c>
      <c r="B4">
        <v>0.29</v>
      </c>
      <c r="C4">
        <v>1.031</v>
      </c>
      <c r="D4">
        <f t="shared" ref="D4:D14" si="0">C4-B4</f>
        <v>0.741</v>
      </c>
      <c r="E4" s="1">
        <v>53.2631877022654</v>
      </c>
      <c r="F4" s="1">
        <f t="shared" ref="F4:F14" si="1">8.9/0.1236*(D4-0.0013)</f>
        <v>53.2631877022654</v>
      </c>
      <c r="G4" s="1">
        <f t="shared" ref="G4:G14" si="2">8.9/0.1458*(D4-0.0013)</f>
        <v>45.1531550068587</v>
      </c>
      <c r="H4" s="1">
        <f t="shared" ref="H4:H36" si="3">8.9/0.1334*(D4-0.0013)</f>
        <v>49.350299850075</v>
      </c>
    </row>
    <row r="5" spans="1:8">
      <c r="A5" t="s">
        <v>12</v>
      </c>
      <c r="B5">
        <v>0.246</v>
      </c>
      <c r="C5">
        <v>1.016</v>
      </c>
      <c r="D5">
        <f t="shared" si="0"/>
        <v>0.77</v>
      </c>
      <c r="E5" s="1">
        <v>55.3513754045308</v>
      </c>
      <c r="F5" s="1">
        <f t="shared" si="1"/>
        <v>55.3513754045308</v>
      </c>
      <c r="G5" s="1">
        <f t="shared" si="2"/>
        <v>46.9233882030178</v>
      </c>
      <c r="H5" s="1">
        <f t="shared" si="3"/>
        <v>51.2850824587706</v>
      </c>
    </row>
    <row r="6" spans="1:8">
      <c r="A6" t="s">
        <v>15</v>
      </c>
      <c r="B6">
        <v>0.301</v>
      </c>
      <c r="C6">
        <v>1.093</v>
      </c>
      <c r="D6">
        <f t="shared" si="0"/>
        <v>0.792</v>
      </c>
      <c r="E6" s="1">
        <v>56.9355177993528</v>
      </c>
      <c r="F6" s="1">
        <f t="shared" si="1"/>
        <v>56.9355177993528</v>
      </c>
      <c r="G6" s="1">
        <f t="shared" si="2"/>
        <v>48.2663237311385</v>
      </c>
      <c r="H6" s="1">
        <f t="shared" si="3"/>
        <v>52.7528485757122</v>
      </c>
    </row>
    <row r="7" spans="1:8">
      <c r="A7" t="s">
        <v>17</v>
      </c>
      <c r="B7">
        <v>0.252</v>
      </c>
      <c r="C7">
        <v>1.001</v>
      </c>
      <c r="D7">
        <f t="shared" si="0"/>
        <v>0.749</v>
      </c>
      <c r="E7" s="1">
        <v>53.8392394822006</v>
      </c>
      <c r="F7" s="1">
        <f t="shared" si="1"/>
        <v>53.8392394822006</v>
      </c>
      <c r="G7" s="1">
        <f t="shared" si="2"/>
        <v>45.6414951989026</v>
      </c>
      <c r="H7" s="1">
        <f t="shared" si="3"/>
        <v>49.8840329835082</v>
      </c>
    </row>
    <row r="8" spans="1:8">
      <c r="A8" t="s">
        <v>19</v>
      </c>
      <c r="B8">
        <v>0.216</v>
      </c>
      <c r="C8">
        <v>0.972</v>
      </c>
      <c r="D8">
        <f t="shared" si="0"/>
        <v>0.756</v>
      </c>
      <c r="E8" s="1">
        <v>54.343284789644</v>
      </c>
      <c r="F8" s="1">
        <f t="shared" si="1"/>
        <v>54.343284789644</v>
      </c>
      <c r="G8" s="1">
        <f t="shared" si="2"/>
        <v>46.068792866941</v>
      </c>
      <c r="H8" s="1">
        <f t="shared" si="3"/>
        <v>50.3510494752624</v>
      </c>
    </row>
    <row r="9" spans="1:8">
      <c r="A9" t="s">
        <v>21</v>
      </c>
      <c r="B9">
        <v>0.251</v>
      </c>
      <c r="C9">
        <v>0.929</v>
      </c>
      <c r="D9">
        <f t="shared" si="0"/>
        <v>0.678</v>
      </c>
      <c r="E9" s="1">
        <v>48.7267799352751</v>
      </c>
      <c r="F9" s="1">
        <f t="shared" si="1"/>
        <v>48.7267799352751</v>
      </c>
      <c r="G9" s="1">
        <f t="shared" si="2"/>
        <v>41.307475994513</v>
      </c>
      <c r="H9" s="1">
        <f t="shared" si="3"/>
        <v>45.1471514242879</v>
      </c>
    </row>
    <row r="10" spans="1:8">
      <c r="A10" t="s">
        <v>23</v>
      </c>
      <c r="B10">
        <v>0.259</v>
      </c>
      <c r="C10">
        <v>0.903</v>
      </c>
      <c r="D10">
        <f t="shared" si="0"/>
        <v>0.644</v>
      </c>
      <c r="E10" s="1">
        <v>46.2785598705502</v>
      </c>
      <c r="F10" s="1">
        <f t="shared" si="1"/>
        <v>46.2785598705502</v>
      </c>
      <c r="G10" s="1">
        <f t="shared" si="2"/>
        <v>39.2320301783265</v>
      </c>
      <c r="H10" s="1">
        <f t="shared" si="3"/>
        <v>42.8787856071964</v>
      </c>
    </row>
    <row r="11" spans="1:8">
      <c r="A11" t="s">
        <v>25</v>
      </c>
      <c r="B11">
        <v>0.373</v>
      </c>
      <c r="C11">
        <v>0.96</v>
      </c>
      <c r="D11">
        <f t="shared" si="0"/>
        <v>0.587</v>
      </c>
      <c r="E11" s="1">
        <v>42.1741909385113</v>
      </c>
      <c r="F11" s="1">
        <f t="shared" si="1"/>
        <v>42.1741909385113</v>
      </c>
      <c r="G11" s="1">
        <f t="shared" si="2"/>
        <v>35.7526063100137</v>
      </c>
      <c r="H11" s="1">
        <f t="shared" si="3"/>
        <v>39.0759370314843</v>
      </c>
    </row>
    <row r="12" spans="1:8">
      <c r="A12" t="s">
        <v>27</v>
      </c>
      <c r="B12">
        <v>0.201</v>
      </c>
      <c r="C12">
        <v>0.854</v>
      </c>
      <c r="D12">
        <f t="shared" si="0"/>
        <v>0.653</v>
      </c>
      <c r="E12" s="1">
        <v>39.7814128943759</v>
      </c>
      <c r="F12" s="1">
        <f t="shared" si="1"/>
        <v>46.9266181229774</v>
      </c>
      <c r="G12" s="1">
        <f t="shared" si="2"/>
        <v>39.7814128943759</v>
      </c>
      <c r="H12" s="1">
        <f t="shared" si="3"/>
        <v>43.4792353823089</v>
      </c>
    </row>
    <row r="13" spans="1:8">
      <c r="A13" t="s">
        <v>29</v>
      </c>
      <c r="B13">
        <v>0.286</v>
      </c>
      <c r="C13">
        <v>0.942</v>
      </c>
      <c r="D13">
        <f t="shared" si="0"/>
        <v>0.656</v>
      </c>
      <c r="E13" s="1">
        <v>39.9645404663923</v>
      </c>
      <c r="F13" s="1">
        <f t="shared" si="1"/>
        <v>47.1426375404531</v>
      </c>
      <c r="G13" s="1">
        <f t="shared" si="2"/>
        <v>39.9645404663923</v>
      </c>
      <c r="H13" s="1">
        <f t="shared" si="3"/>
        <v>43.6793853073463</v>
      </c>
    </row>
    <row r="14" spans="1:8">
      <c r="A14" t="s">
        <v>31</v>
      </c>
      <c r="B14">
        <v>0.235</v>
      </c>
      <c r="C14">
        <v>0.841</v>
      </c>
      <c r="D14">
        <f t="shared" si="0"/>
        <v>0.606</v>
      </c>
      <c r="E14" s="1">
        <v>36.912414266118</v>
      </c>
      <c r="F14" s="1">
        <f t="shared" si="1"/>
        <v>43.5423139158576</v>
      </c>
      <c r="G14" s="1">
        <f t="shared" si="2"/>
        <v>36.912414266118</v>
      </c>
      <c r="H14" s="1">
        <f t="shared" si="3"/>
        <v>40.3435532233883</v>
      </c>
    </row>
    <row r="15" spans="6:8">
      <c r="F15" s="1"/>
      <c r="G15" s="1"/>
      <c r="H15" s="1"/>
    </row>
    <row r="16" spans="6:8">
      <c r="F16" s="1"/>
      <c r="G16" s="1"/>
      <c r="H16" s="1"/>
    </row>
    <row r="17" spans="6:8">
      <c r="F17" s="1"/>
      <c r="G17" s="1"/>
      <c r="H17" s="1"/>
    </row>
    <row r="18" spans="1:8">
      <c r="A18" t="s">
        <v>2</v>
      </c>
      <c r="F18" s="1"/>
      <c r="G18" s="1"/>
      <c r="H18" s="1"/>
    </row>
    <row r="19" spans="1:8">
      <c r="A19" t="s">
        <v>7</v>
      </c>
      <c r="B19">
        <v>0.143</v>
      </c>
      <c r="C19">
        <v>0.836</v>
      </c>
      <c r="D19">
        <f t="shared" ref="D15:D39" si="4">C19-B19</f>
        <v>0.693</v>
      </c>
      <c r="E19" s="1">
        <v>46.1479010494753</v>
      </c>
      <c r="F19" s="1">
        <f t="shared" ref="F15:F39" si="5">8.9/0.1236*(D19-0.0013)</f>
        <v>49.8068770226537</v>
      </c>
      <c r="G19" s="1">
        <f t="shared" ref="G15:G39" si="6">8.9/0.1458*(D19-0.0013)</f>
        <v>42.2231138545953</v>
      </c>
      <c r="H19" s="1">
        <f t="shared" si="3"/>
        <v>46.1479010494753</v>
      </c>
    </row>
    <row r="20" spans="1:8">
      <c r="A20" t="s">
        <v>10</v>
      </c>
      <c r="B20">
        <v>0.225</v>
      </c>
      <c r="C20">
        <v>0.884</v>
      </c>
      <c r="D20">
        <f t="shared" si="4"/>
        <v>0.659</v>
      </c>
      <c r="E20" s="1">
        <v>47.3586569579288</v>
      </c>
      <c r="F20" s="1">
        <f t="shared" si="5"/>
        <v>47.3586569579288</v>
      </c>
      <c r="G20" s="1">
        <f t="shared" si="6"/>
        <v>40.1476680384088</v>
      </c>
      <c r="H20" s="1">
        <f t="shared" si="3"/>
        <v>43.8795352323838</v>
      </c>
    </row>
    <row r="21" spans="1:8">
      <c r="A21" t="s">
        <v>13</v>
      </c>
      <c r="B21">
        <v>0.217</v>
      </c>
      <c r="C21">
        <v>0.895</v>
      </c>
      <c r="D21">
        <f t="shared" si="4"/>
        <v>0.678</v>
      </c>
      <c r="E21" s="1">
        <v>45.1471514242879</v>
      </c>
      <c r="F21" s="1">
        <f t="shared" si="5"/>
        <v>48.7267799352751</v>
      </c>
      <c r="G21" s="1">
        <f t="shared" si="6"/>
        <v>41.307475994513</v>
      </c>
      <c r="H21" s="1">
        <f t="shared" si="3"/>
        <v>45.1471514242879</v>
      </c>
    </row>
    <row r="22" spans="1:8">
      <c r="A22" t="s">
        <v>16</v>
      </c>
      <c r="B22">
        <v>0.342</v>
      </c>
      <c r="C22">
        <v>0.987</v>
      </c>
      <c r="D22">
        <f t="shared" si="4"/>
        <v>0.645</v>
      </c>
      <c r="E22" s="1">
        <v>42.9455022488756</v>
      </c>
      <c r="F22" s="1">
        <f t="shared" si="5"/>
        <v>46.3505663430421</v>
      </c>
      <c r="G22" s="1">
        <f t="shared" si="6"/>
        <v>39.293072702332</v>
      </c>
      <c r="H22" s="1">
        <f t="shared" si="3"/>
        <v>42.9455022488756</v>
      </c>
    </row>
    <row r="23" spans="1:8">
      <c r="A23" t="s">
        <v>18</v>
      </c>
      <c r="B23">
        <v>0.278</v>
      </c>
      <c r="C23">
        <v>1.02</v>
      </c>
      <c r="D23">
        <f t="shared" si="4"/>
        <v>0.742</v>
      </c>
      <c r="E23" s="1">
        <v>45.2141975308642</v>
      </c>
      <c r="F23" s="1">
        <f t="shared" si="5"/>
        <v>53.3351941747573</v>
      </c>
      <c r="G23" s="1">
        <f t="shared" si="6"/>
        <v>45.2141975308642</v>
      </c>
      <c r="H23" s="1">
        <f t="shared" si="3"/>
        <v>49.4170164917541</v>
      </c>
    </row>
    <row r="24" spans="1:8">
      <c r="A24" t="s">
        <v>20</v>
      </c>
      <c r="B24">
        <v>0.421</v>
      </c>
      <c r="C24">
        <v>1.034</v>
      </c>
      <c r="D24">
        <f t="shared" si="4"/>
        <v>0.613</v>
      </c>
      <c r="E24" s="1">
        <v>40.8105697151424</v>
      </c>
      <c r="F24" s="1">
        <f t="shared" si="5"/>
        <v>44.046359223301</v>
      </c>
      <c r="G24" s="1">
        <f t="shared" si="6"/>
        <v>37.3397119341564</v>
      </c>
      <c r="H24" s="1">
        <f t="shared" si="3"/>
        <v>40.8105697151424</v>
      </c>
    </row>
    <row r="25" spans="1:8">
      <c r="A25" t="s">
        <v>22</v>
      </c>
      <c r="B25">
        <v>0.303</v>
      </c>
      <c r="C25">
        <v>0.919</v>
      </c>
      <c r="D25">
        <f t="shared" si="4"/>
        <v>0.616</v>
      </c>
      <c r="E25" s="1">
        <v>44.2623786407767</v>
      </c>
      <c r="F25" s="1">
        <f t="shared" si="5"/>
        <v>44.2623786407767</v>
      </c>
      <c r="G25" s="1">
        <f t="shared" si="6"/>
        <v>37.5228395061729</v>
      </c>
      <c r="H25" s="1">
        <f t="shared" si="3"/>
        <v>41.0107196401799</v>
      </c>
    </row>
    <row r="26" spans="1:8">
      <c r="A26" t="s">
        <v>24</v>
      </c>
      <c r="B26">
        <v>0.357</v>
      </c>
      <c r="C26">
        <v>1.018</v>
      </c>
      <c r="D26">
        <f t="shared" si="4"/>
        <v>0.661</v>
      </c>
      <c r="E26" s="1">
        <v>47.5026699029126</v>
      </c>
      <c r="F26" s="1">
        <f t="shared" si="5"/>
        <v>47.5026699029126</v>
      </c>
      <c r="G26" s="1">
        <f t="shared" si="6"/>
        <v>40.2697530864198</v>
      </c>
      <c r="H26" s="1">
        <f t="shared" si="3"/>
        <v>44.0129685157421</v>
      </c>
    </row>
    <row r="27" spans="1:8">
      <c r="A27" t="s">
        <v>26</v>
      </c>
      <c r="B27">
        <v>0.323</v>
      </c>
      <c r="C27">
        <v>1.099</v>
      </c>
      <c r="D27">
        <f t="shared" si="4"/>
        <v>0.776</v>
      </c>
      <c r="E27" s="1">
        <v>47.1065157750343</v>
      </c>
      <c r="F27" s="1">
        <f t="shared" si="5"/>
        <v>55.7834142394822</v>
      </c>
      <c r="G27" s="1">
        <f t="shared" si="6"/>
        <v>47.2896433470508</v>
      </c>
      <c r="H27" s="1">
        <f t="shared" si="3"/>
        <v>51.6853823088456</v>
      </c>
    </row>
    <row r="28" spans="1:8">
      <c r="A28" t="s">
        <v>28</v>
      </c>
      <c r="B28">
        <v>0.44</v>
      </c>
      <c r="C28">
        <v>0.945</v>
      </c>
      <c r="D28">
        <f t="shared" si="4"/>
        <v>0.505</v>
      </c>
      <c r="E28" s="1">
        <v>36.2696601941748</v>
      </c>
      <c r="F28" s="1">
        <f t="shared" si="5"/>
        <v>36.2696601941748</v>
      </c>
      <c r="G28" s="1">
        <f t="shared" si="6"/>
        <v>30.7471193415638</v>
      </c>
      <c r="H28" s="1">
        <f t="shared" si="3"/>
        <v>33.6051724137931</v>
      </c>
    </row>
    <row r="29" spans="1:8">
      <c r="A29" t="s">
        <v>30</v>
      </c>
      <c r="B29">
        <v>0.375</v>
      </c>
      <c r="C29">
        <v>1.078</v>
      </c>
      <c r="D29">
        <f t="shared" si="4"/>
        <v>0.703</v>
      </c>
      <c r="E29" s="1">
        <v>42.8335390946502</v>
      </c>
      <c r="F29" s="1">
        <f t="shared" si="5"/>
        <v>50.5269417475728</v>
      </c>
      <c r="G29" s="1">
        <f t="shared" si="6"/>
        <v>42.8335390946502</v>
      </c>
      <c r="H29" s="1">
        <f t="shared" si="3"/>
        <v>46.8150674662669</v>
      </c>
    </row>
    <row r="30" spans="1:8">
      <c r="A30" t="s">
        <v>32</v>
      </c>
      <c r="B30">
        <v>0.503</v>
      </c>
      <c r="C30">
        <v>1.011</v>
      </c>
      <c r="D30">
        <f t="shared" si="4"/>
        <v>0.508</v>
      </c>
      <c r="E30" s="1">
        <v>36.4856796116505</v>
      </c>
      <c r="F30" s="1">
        <f t="shared" si="5"/>
        <v>36.4856796116505</v>
      </c>
      <c r="G30" s="1">
        <f t="shared" si="6"/>
        <v>30.9302469135802</v>
      </c>
      <c r="H30" s="1">
        <f t="shared" si="3"/>
        <v>33.8053223388306</v>
      </c>
    </row>
    <row r="31" spans="6:8">
      <c r="F31" s="1"/>
      <c r="G31" s="1"/>
      <c r="H31" s="1"/>
    </row>
    <row r="32" spans="6:8">
      <c r="F32" s="1"/>
      <c r="G32" s="1"/>
      <c r="H32" s="1"/>
    </row>
    <row r="33" spans="1:8">
      <c r="A33" t="s">
        <v>3</v>
      </c>
      <c r="F33" s="1"/>
      <c r="G33" s="1"/>
      <c r="H33" s="1"/>
    </row>
    <row r="34" spans="1:8">
      <c r="A34">
        <v>1</v>
      </c>
      <c r="B34">
        <v>0.595</v>
      </c>
      <c r="C34">
        <v>1.084</v>
      </c>
      <c r="D34">
        <f>C34-B34</f>
        <v>0.489</v>
      </c>
      <c r="E34" s="1">
        <v>35.1175566343042</v>
      </c>
      <c r="F34" s="1">
        <f>8.9/0.1236*(D34-0.0013)</f>
        <v>35.1175566343042</v>
      </c>
      <c r="G34" s="1">
        <f>8.9/0.1458*(D34-0.0013)</f>
        <v>29.770438957476</v>
      </c>
      <c r="H34" s="1">
        <f t="shared" si="3"/>
        <v>32.5377061469265</v>
      </c>
    </row>
    <row r="35" spans="1:8">
      <c r="A35">
        <v>2</v>
      </c>
      <c r="B35">
        <v>0.305</v>
      </c>
      <c r="C35">
        <v>0.873</v>
      </c>
      <c r="D35">
        <f>C35-B35</f>
        <v>0.568</v>
      </c>
      <c r="E35" s="1">
        <v>34.5927983539095</v>
      </c>
      <c r="F35" s="1">
        <f>8.9/0.1236*(D35-0.0013)</f>
        <v>40.8060679611651</v>
      </c>
      <c r="G35" s="1">
        <f>8.9/0.1458*(D35-0.0013)</f>
        <v>34.5927983539095</v>
      </c>
      <c r="H35" s="1">
        <f t="shared" si="3"/>
        <v>37.8083208395802</v>
      </c>
    </row>
    <row r="36" spans="1:8">
      <c r="A36">
        <v>3</v>
      </c>
      <c r="B36">
        <v>0.646</v>
      </c>
      <c r="C36">
        <v>1.18</v>
      </c>
      <c r="D36">
        <f>C36-B36</f>
        <v>0.534</v>
      </c>
      <c r="E36" s="1">
        <v>35.5399550224888</v>
      </c>
      <c r="F36" s="1">
        <f>8.9/0.1236*(D36-0.0013)</f>
        <v>38.3578478964401</v>
      </c>
      <c r="G36" s="1">
        <f>8.9/0.1458*(D36-0.0013)</f>
        <v>32.5173525377229</v>
      </c>
      <c r="H36" s="1">
        <f t="shared" si="3"/>
        <v>35.5399550224888</v>
      </c>
    </row>
    <row r="37" spans="8:8">
      <c r="H37" s="1"/>
    </row>
    <row r="38" spans="8:8">
      <c r="H38" s="1"/>
    </row>
    <row r="39" spans="8:8">
      <c r="H39" s="1"/>
    </row>
    <row r="43" spans="1:1">
      <c r="A43" t="s">
        <v>4</v>
      </c>
    </row>
    <row r="44" spans="1:1">
      <c r="A44" t="s">
        <v>8</v>
      </c>
    </row>
    <row r="45" spans="1:1">
      <c r="A45" t="s">
        <v>11</v>
      </c>
    </row>
    <row r="46" spans="1:1">
      <c r="A46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ROS</vt:lpstr>
      <vt:lpstr>SOD</vt:lpstr>
      <vt:lpstr>SOD抑制百分率计算</vt:lpstr>
      <vt:lpstr>POD</vt:lpstr>
      <vt:lpstr>GST</vt:lpstr>
      <vt:lpstr>CAT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Mohan LI</cp:lastModifiedBy>
  <dcterms:created xsi:type="dcterms:W3CDTF">2023-05-12T11:15:00Z</dcterms:created>
  <dcterms:modified xsi:type="dcterms:W3CDTF">2024-04-24T14:28:12Z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C30EF22826ED4719B4781114B19812ED_12</vt:lpwstr>
  </property>
</Properties>
</file>